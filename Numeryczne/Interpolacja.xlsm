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8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unhuman\Desktop\zalicznie_pankowski\Interpolacja\"/>
    </mc:Choice>
  </mc:AlternateContent>
  <xr:revisionPtr revIDLastSave="0" documentId="13_ncr:1_{28A84E30-4573-48A3-96D9-014C94C7FDEC}" xr6:coauthVersionLast="47" xr6:coauthVersionMax="47" xr10:uidLastSave="{00000000-0000-0000-0000-000000000000}"/>
  <bookViews>
    <workbookView minimized="1" xWindow="2325" yWindow="1125" windowWidth="20835" windowHeight="12660" firstSheet="2" activeTab="7" xr2:uid="{391522E5-5B48-4318-90F9-8D176D4D4024}"/>
  </bookViews>
  <sheets>
    <sheet name="Arkusz0" sheetId="4" r:id="rId1"/>
    <sheet name="Arkusz1" sheetId="1" r:id="rId2"/>
    <sheet name="Arkusz2" sheetId="3" r:id="rId3"/>
    <sheet name="Arkusz3" sheetId="2" r:id="rId4"/>
    <sheet name="Arkusz4" sheetId="5" r:id="rId5"/>
    <sheet name="Arkusz5" sheetId="6" r:id="rId6"/>
    <sheet name="Metoda Newtona" sheetId="8" r:id="rId7"/>
    <sheet name="Zadanie1_1" sheetId="12" r:id="rId8"/>
    <sheet name="Arkusz6" sheetId="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8" l="1"/>
  <c r="J6" i="8"/>
  <c r="J4" i="8"/>
  <c r="J3" i="8"/>
  <c r="D5" i="8"/>
  <c r="D4" i="8"/>
  <c r="E4" i="8" s="1"/>
  <c r="D3" i="8"/>
  <c r="E3" i="8" s="1"/>
  <c r="F3" i="8" s="1"/>
  <c r="F2" i="3" l="1"/>
  <c r="J3" i="5"/>
  <c r="H1" i="7"/>
  <c r="E1" i="7"/>
  <c r="B3" i="7"/>
  <c r="D4" i="2"/>
  <c r="D5" i="2"/>
  <c r="D3" i="2"/>
  <c r="D5" i="5"/>
  <c r="D4" i="5"/>
  <c r="E4" i="5" s="1"/>
  <c r="D3" i="5"/>
  <c r="B45" i="3"/>
  <c r="B46" i="3"/>
  <c r="B55" i="3" s="1"/>
  <c r="B47" i="3"/>
  <c r="C47" i="3" s="1"/>
  <c r="G56" i="3" s="1"/>
  <c r="B48" i="3"/>
  <c r="C48" i="3" s="1"/>
  <c r="G57" i="3" s="1"/>
  <c r="B49" i="3"/>
  <c r="C49" i="3" s="1"/>
  <c r="G58" i="3" s="1"/>
  <c r="B44" i="3"/>
  <c r="B53" i="3" s="1"/>
  <c r="E62" i="3"/>
  <c r="D54" i="3"/>
  <c r="A55" i="3"/>
  <c r="C46" i="3"/>
  <c r="G55" i="3" s="1"/>
  <c r="G27" i="3"/>
  <c r="G28" i="3"/>
  <c r="G29" i="3"/>
  <c r="G30" i="3"/>
  <c r="G31" i="3"/>
  <c r="G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E26" i="3"/>
  <c r="D26" i="3"/>
  <c r="C26" i="3"/>
  <c r="A34" i="3" s="1" a="1"/>
  <c r="A34" i="3" s="1"/>
  <c r="B26" i="3"/>
  <c r="A26" i="3"/>
  <c r="B17" i="3"/>
  <c r="D17" i="3"/>
  <c r="D16" i="3"/>
  <c r="D15" i="3"/>
  <c r="A17" i="3"/>
  <c r="B16" i="3"/>
  <c r="A16" i="3"/>
  <c r="B15" i="3"/>
  <c r="A15" i="3"/>
  <c r="A20" i="3" s="1" a="1"/>
  <c r="A20" i="3" s="1"/>
  <c r="E3" i="3" s="1"/>
  <c r="D2" i="1"/>
  <c r="D3" i="1"/>
  <c r="D4" i="1"/>
  <c r="D6" i="1"/>
  <c r="D5" i="1"/>
  <c r="B4" i="7" a="1"/>
  <c r="C55" i="3" l="1"/>
  <c r="A58" i="3"/>
  <c r="C58" i="3"/>
  <c r="D58" i="3"/>
  <c r="B56" i="3"/>
  <c r="E3" i="5"/>
  <c r="D55" i="3"/>
  <c r="B57" i="3"/>
  <c r="B4" i="7"/>
  <c r="B58" i="3"/>
  <c r="E58" i="3"/>
  <c r="B54" i="3"/>
  <c r="E57" i="3"/>
  <c r="E56" i="3"/>
  <c r="C45" i="3"/>
  <c r="G54" i="3" s="1"/>
  <c r="C57" i="3"/>
  <c r="E55" i="3"/>
  <c r="C56" i="3"/>
  <c r="E54" i="3"/>
  <c r="A56" i="3"/>
  <c r="C54" i="3"/>
  <c r="A57" i="3"/>
  <c r="A54" i="3"/>
  <c r="D57" i="3"/>
  <c r="D56" i="3"/>
  <c r="A53" i="3"/>
  <c r="C53" i="3"/>
  <c r="E53" i="3"/>
  <c r="D53" i="3"/>
  <c r="C44" i="3"/>
  <c r="G53" i="3" s="1"/>
  <c r="F3" i="3"/>
  <c r="F4" i="3"/>
  <c r="F5" i="3"/>
  <c r="F7" i="3"/>
  <c r="F6" i="3"/>
  <c r="E2" i="3"/>
  <c r="E7" i="3"/>
  <c r="E6" i="3"/>
  <c r="E5" i="3"/>
  <c r="E4" i="3"/>
  <c r="F3" i="5" l="1"/>
  <c r="J4" i="5"/>
  <c r="J5" i="5"/>
  <c r="J6" i="5"/>
  <c r="B60" i="3" a="1"/>
  <c r="B60" i="3" s="1"/>
  <c r="F62" i="3" l="1"/>
  <c r="G62" i="3" s="1"/>
  <c r="D45" i="3"/>
  <c r="D46" i="3"/>
  <c r="D48" i="3"/>
  <c r="D49" i="3"/>
  <c r="D44" i="3"/>
  <c r="D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<sst xmlns="http://schemas.openxmlformats.org/spreadsheetml/2006/main" count="128" uniqueCount="94">
  <si>
    <t>i</t>
  </si>
  <si>
    <r>
      <t>x</t>
    </r>
    <r>
      <rPr>
        <vertAlign val="subscript"/>
        <sz val="11"/>
        <color theme="1"/>
        <rFont val="Aptos Narrow"/>
        <family val="2"/>
        <scheme val="minor"/>
      </rPr>
      <t>i</t>
    </r>
  </si>
  <si>
    <r>
      <t xml:space="preserve">w </t>
    </r>
    <r>
      <rPr>
        <vertAlign val="subscript"/>
        <sz val="11"/>
        <color theme="1"/>
        <rFont val="Aptos Narrow"/>
        <family val="2"/>
        <scheme val="minor"/>
      </rPr>
      <t>i</t>
    </r>
  </si>
  <si>
    <t>F(x)=x+2</t>
  </si>
  <si>
    <r>
      <t xml:space="preserve">x </t>
    </r>
    <r>
      <rPr>
        <vertAlign val="subscript"/>
        <sz val="11"/>
        <color theme="1"/>
        <rFont val="Aptos Narrow"/>
        <family val="2"/>
        <scheme val="minor"/>
      </rPr>
      <t>i</t>
    </r>
  </si>
  <si>
    <r>
      <t xml:space="preserve">w </t>
    </r>
    <r>
      <rPr>
        <vertAlign val="subscript"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charset val="238"/>
        <scheme val="minor"/>
      </rPr>
      <t xml:space="preserve"> - I</t>
    </r>
  </si>
  <si>
    <r>
      <t xml:space="preserve">w </t>
    </r>
    <r>
      <rPr>
        <vertAlign val="subscript"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charset val="238"/>
        <scheme val="minor"/>
      </rPr>
      <t xml:space="preserve"> - II</t>
    </r>
  </si>
  <si>
    <t>F(x) - I</t>
  </si>
  <si>
    <t>F(x) - II</t>
  </si>
  <si>
    <t>a</t>
  </si>
  <si>
    <t>b</t>
  </si>
  <si>
    <t>c</t>
  </si>
  <si>
    <t>d</t>
  </si>
  <si>
    <t>e</t>
  </si>
  <si>
    <t>f</t>
  </si>
  <si>
    <r>
      <t xml:space="preserve">w </t>
    </r>
    <r>
      <rPr>
        <vertAlign val="subscript"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charset val="238"/>
        <scheme val="minor"/>
      </rPr>
      <t xml:space="preserve">  - III</t>
    </r>
  </si>
  <si>
    <t>F(x) - III</t>
  </si>
  <si>
    <t>pi/6</t>
  </si>
  <si>
    <t>F(x)</t>
  </si>
  <si>
    <t>a0</t>
  </si>
  <si>
    <t>a1</t>
  </si>
  <si>
    <t>a2</t>
  </si>
  <si>
    <t>a3</t>
  </si>
  <si>
    <t>godzina</t>
  </si>
  <si>
    <t>x</t>
  </si>
  <si>
    <t>średnia</t>
  </si>
  <si>
    <t>stawka</t>
  </si>
  <si>
    <t>wypłata</t>
  </si>
  <si>
    <t xml:space="preserve">F(x) = y </t>
  </si>
  <si>
    <t>Min</t>
  </si>
  <si>
    <t>Max</t>
  </si>
  <si>
    <t>n</t>
  </si>
  <si>
    <t>a4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</si>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</sst>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9">
    <font>
      <sz val="11"/>
      <color theme="1"/>
      <name val="Aptos Narrow"/>
      <family val="2"/>
      <charset val="238"/>
      <scheme val="minor"/>
    </font>
    <font>
      <i/>
      <sz val="11"/>
      <color theme="1"/>
      <name val="Aptos Narrow"/>
      <family val="2"/>
      <charset val="238"/>
      <scheme val="minor"/>
    </font>
    <font>
      <vertAlign val="subscript"/>
      <sz val="11"/>
      <color theme="1"/>
      <name val="Aptos Narrow"/>
      <family val="2"/>
      <scheme val="minor"/>
    </font>
    <font>
      <sz val="8"/>
      <name val="Aptos Narrow"/>
      <family val="2"/>
      <charset val="238"/>
      <scheme val="minor"/>
    </font>
    <font>
      <sz val="11"/>
      <color rgb="FF000000"/>
      <name val="Aptos Narrow"/>
    </font>
    <font>
      <b/>
      <sz val="11"/>
      <color theme="1"/>
      <name val="Aptos Narrow"/>
      <charset val="238"/>
      <scheme val="minor"/>
    </font>
    <font>
      <sz val="11"/>
      <color theme="1"/>
      <name val="Aptos Narrow"/>
      <charset val="238"/>
      <scheme val="minor"/>
    </font>
    <font>
      <b/>
      <sz val="12"/>
      <color theme="1"/>
      <name val="Aptos Narrow"/>
      <charset val="238"/>
      <scheme val="minor"/>
    </font>
    <font>
      <b/>
      <sz val="12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0" xfId="0" applyFill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5" xfId="0" applyFill="1" applyBorder="1"/>
    <xf numFmtId="164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5" fillId="0" borderId="0" xfId="0" applyFont="1"/>
    <xf numFmtId="0" fontId="6" fillId="0" borderId="0" xfId="0" applyFont="1"/>
    <xf numFmtId="2" fontId="0" fillId="0" borderId="0" xfId="0" applyNumberFormat="1"/>
    <xf numFmtId="2" fontId="5" fillId="0" borderId="0" xfId="0" applyNumberFormat="1" applyFont="1"/>
    <xf numFmtId="2" fontId="0" fillId="0" borderId="0" xfId="0" applyNumberFormat="1" applyFill="1" applyBorder="1"/>
    <xf numFmtId="0" fontId="0" fillId="2" borderId="15" xfId="0" quotePrefix="1" applyFill="1" applyBorder="1"/>
    <xf numFmtId="0" fontId="0" fillId="0" borderId="0" xfId="0" quotePrefix="1"/>
    <xf numFmtId="0" fontId="5" fillId="0" borderId="0" xfId="0" applyFont="1" applyFill="1" applyBorder="1"/>
    <xf numFmtId="0" fontId="5" fillId="0" borderId="0" xfId="0" applyNumberFormat="1" applyFont="1" applyFill="1" applyBorder="1"/>
    <xf numFmtId="0" fontId="5" fillId="3" borderId="2" xfId="0" applyFont="1" applyFill="1" applyBorder="1"/>
    <xf numFmtId="2" fontId="7" fillId="0" borderId="0" xfId="0" applyNumberFormat="1" applyFont="1" applyAlignment="1">
      <alignment wrapText="1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Arkusz1!$C$1</c:f>
              <c:strCache>
                <c:ptCount val="1"/>
                <c:pt idx="0">
                  <c:v>w 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</c:marker>
          <c:cat>
            <c:numRef>
              <c:f>Arkusz1!$B$2:$B$6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Arkusz1!$C$2:$C$6</c:f>
              <c:numCache>
                <c:formatCode>General</c:formatCode>
                <c:ptCount val="5"/>
                <c:pt idx="1">
                  <c:v>3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F-4328-B710-F905824276D9}"/>
            </c:ext>
          </c:extLst>
        </c:ser>
        <c:ser>
          <c:idx val="1"/>
          <c:order val="1"/>
          <c:tx>
            <c:strRef>
              <c:f>Arkusz1!$D$1</c:f>
              <c:strCache>
                <c:ptCount val="1"/>
                <c:pt idx="0">
                  <c:v>F(x)=x+2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Arkusz1!$B$2:$B$6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Arkusz1!$D$2:$D$6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CF-4328-B710-F90582427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34120"/>
        <c:axId val="551037360"/>
      </c:lineChart>
      <c:catAx>
        <c:axId val="551034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1037360"/>
        <c:crosses val="autoZero"/>
        <c:auto val="1"/>
        <c:lblAlgn val="ctr"/>
        <c:lblOffset val="100"/>
        <c:noMultiLvlLbl val="0"/>
      </c:catAx>
      <c:valAx>
        <c:axId val="55103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1034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II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Arkusz2!$D$1</c:f>
              <c:strCache>
                <c:ptCount val="1"/>
                <c:pt idx="0">
                  <c:v>w i - II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Arkusz2!$B$2:$B$8</c:f>
              <c:numCache>
                <c:formatCode>General</c:formatCode>
                <c:ptCount val="7"/>
                <c:pt idx="0">
                  <c:v>-1.5</c:v>
                </c:pt>
                <c:pt idx="1">
                  <c:v>-1</c:v>
                </c:pt>
                <c:pt idx="2">
                  <c:v>-0.5</c:v>
                </c:pt>
                <c:pt idx="3">
                  <c:v>0</c:v>
                </c:pt>
                <c:pt idx="4">
                  <c:v>0.5</c:v>
                </c:pt>
                <c:pt idx="5">
                  <c:v>1</c:v>
                </c:pt>
              </c:numCache>
            </c:numRef>
          </c:cat>
          <c:val>
            <c:numRef>
              <c:f>Arkusz2!$D$2:$D$8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B-44A2-B12D-ECDC5B7731BF}"/>
            </c:ext>
          </c:extLst>
        </c:ser>
        <c:ser>
          <c:idx val="1"/>
          <c:order val="1"/>
          <c:tx>
            <c:strRef>
              <c:f>Arkusz2!$F$1</c:f>
              <c:strCache>
                <c:ptCount val="1"/>
                <c:pt idx="0">
                  <c:v>F(x) - II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Arkusz2!$B$2:$B$8</c:f>
              <c:numCache>
                <c:formatCode>General</c:formatCode>
                <c:ptCount val="7"/>
                <c:pt idx="0">
                  <c:v>-1.5</c:v>
                </c:pt>
                <c:pt idx="1">
                  <c:v>-1</c:v>
                </c:pt>
                <c:pt idx="2">
                  <c:v>-0.5</c:v>
                </c:pt>
                <c:pt idx="3">
                  <c:v>0</c:v>
                </c:pt>
                <c:pt idx="4">
                  <c:v>0.5</c:v>
                </c:pt>
                <c:pt idx="5">
                  <c:v>1</c:v>
                </c:pt>
              </c:numCache>
            </c:numRef>
          </c:cat>
          <c:val>
            <c:numRef>
              <c:f>Arkusz2!$F$2:$F$8</c:f>
              <c:numCache>
                <c:formatCode>General</c:formatCode>
                <c:ptCount val="7"/>
                <c:pt idx="0">
                  <c:v>1.000000000000016</c:v>
                </c:pt>
                <c:pt idx="1">
                  <c:v>3.000000000000004</c:v>
                </c:pt>
                <c:pt idx="2">
                  <c:v>1.0000000000000004</c:v>
                </c:pt>
                <c:pt idx="3">
                  <c:v>1</c:v>
                </c:pt>
                <c:pt idx="4">
                  <c:v>-1</c:v>
                </c:pt>
                <c:pt idx="5">
                  <c:v>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B0B-44A2-B12D-ECDC5B773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90952"/>
        <c:axId val="117665640"/>
      </c:lineChart>
      <c:catAx>
        <c:axId val="49919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665640"/>
        <c:crosses val="autoZero"/>
        <c:auto val="1"/>
        <c:lblAlgn val="ctr"/>
        <c:lblOffset val="100"/>
        <c:noMultiLvlLbl val="0"/>
      </c:catAx>
      <c:valAx>
        <c:axId val="11766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>
            <a:solidFill>
              <a:schemeClr val="tx1"/>
            </a:solidFill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190952"/>
        <c:crossesAt val="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Arkusz2!$C$1</c:f>
              <c:strCache>
                <c:ptCount val="1"/>
                <c:pt idx="0">
                  <c:v>w i - 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</c:marker>
          <c:cat>
            <c:numRef>
              <c:f>Arkusz2!$B$2:$B$8</c:f>
              <c:numCache>
                <c:formatCode>General</c:formatCode>
                <c:ptCount val="7"/>
                <c:pt idx="0">
                  <c:v>-1.5</c:v>
                </c:pt>
                <c:pt idx="1">
                  <c:v>-1</c:v>
                </c:pt>
                <c:pt idx="2">
                  <c:v>-0.5</c:v>
                </c:pt>
                <c:pt idx="3">
                  <c:v>0</c:v>
                </c:pt>
                <c:pt idx="4">
                  <c:v>0.5</c:v>
                </c:pt>
                <c:pt idx="5">
                  <c:v>1</c:v>
                </c:pt>
              </c:numCache>
            </c:numRef>
          </c:cat>
          <c:val>
            <c:numRef>
              <c:f>Arkusz2!$C$2:$C$8</c:f>
              <c:numCache>
                <c:formatCode>General</c:formatCode>
                <c:ptCount val="7"/>
                <c:pt idx="1">
                  <c:v>3</c:v>
                </c:pt>
                <c:pt idx="3">
                  <c:v>1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E-427F-9419-352BCFE1D086}"/>
            </c:ext>
          </c:extLst>
        </c:ser>
        <c:ser>
          <c:idx val="1"/>
          <c:order val="1"/>
          <c:tx>
            <c:strRef>
              <c:f>Arkusz2!$E$1</c:f>
              <c:strCache>
                <c:ptCount val="1"/>
                <c:pt idx="0">
                  <c:v>F(x) - I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Arkusz2!$B$2:$B$8</c:f>
              <c:numCache>
                <c:formatCode>General</c:formatCode>
                <c:ptCount val="7"/>
                <c:pt idx="0">
                  <c:v>-1.5</c:v>
                </c:pt>
                <c:pt idx="1">
                  <c:v>-1</c:v>
                </c:pt>
                <c:pt idx="2">
                  <c:v>-0.5</c:v>
                </c:pt>
                <c:pt idx="3">
                  <c:v>0</c:v>
                </c:pt>
                <c:pt idx="4">
                  <c:v>0.5</c:v>
                </c:pt>
                <c:pt idx="5">
                  <c:v>1</c:v>
                </c:pt>
              </c:numCache>
            </c:numRef>
          </c:cat>
          <c:val>
            <c:numRef>
              <c:f>Arkusz2!$E$2:$E$8</c:f>
              <c:numCache>
                <c:formatCode>General</c:formatCode>
                <c:ptCount val="7"/>
                <c:pt idx="0">
                  <c:v>6.25</c:v>
                </c:pt>
                <c:pt idx="1">
                  <c:v>3</c:v>
                </c:pt>
                <c:pt idx="2">
                  <c:v>1.25</c:v>
                </c:pt>
                <c:pt idx="3">
                  <c:v>1</c:v>
                </c:pt>
                <c:pt idx="4">
                  <c:v>2.25</c:v>
                </c:pt>
                <c:pt idx="5">
                  <c:v>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AE-427F-9419-352BCFE1D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90952"/>
        <c:axId val="117665640"/>
      </c:lineChart>
      <c:catAx>
        <c:axId val="49919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665640"/>
        <c:crosses val="autoZero"/>
        <c:auto val="1"/>
        <c:lblAlgn val="ctr"/>
        <c:lblOffset val="100"/>
        <c:noMultiLvlLbl val="0"/>
      </c:catAx>
      <c:valAx>
        <c:axId val="11766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>
            <a:solidFill>
              <a:schemeClr val="tx1"/>
            </a:solidFill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190952"/>
        <c:crossesAt val="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Arkusz2!$C$43</c:f>
              <c:strCache>
                <c:ptCount val="1"/>
                <c:pt idx="0">
                  <c:v>w i  - III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28575">
                <a:solidFill>
                  <a:schemeClr val="tx1"/>
                </a:solidFill>
              </a:ln>
              <a:effectLst/>
            </c:spPr>
          </c:marker>
          <c:cat>
            <c:numRef>
              <c:f>Arkusz2!$B$44:$B$49</c:f>
              <c:numCache>
                <c:formatCode>General</c:formatCode>
                <c:ptCount val="6"/>
                <c:pt idx="0">
                  <c:v>0</c:v>
                </c:pt>
                <c:pt idx="1">
                  <c:v>0.78539816339744828</c:v>
                </c:pt>
                <c:pt idx="2">
                  <c:v>1.5707963267948966</c:v>
                </c:pt>
                <c:pt idx="3">
                  <c:v>2.3561944901923448</c:v>
                </c:pt>
                <c:pt idx="4">
                  <c:v>3.1415926535897931</c:v>
                </c:pt>
                <c:pt idx="5">
                  <c:v>3.9269908169872414</c:v>
                </c:pt>
              </c:numCache>
            </c:numRef>
          </c:cat>
          <c:val>
            <c:numRef>
              <c:f>Arkusz2!$C$44:$C$49</c:f>
              <c:numCache>
                <c:formatCode>General</c:formatCode>
                <c:ptCount val="6"/>
                <c:pt idx="0">
                  <c:v>0</c:v>
                </c:pt>
                <c:pt idx="1">
                  <c:v>0.70710678118654746</c:v>
                </c:pt>
                <c:pt idx="2">
                  <c:v>1</c:v>
                </c:pt>
                <c:pt idx="3">
                  <c:v>0.70710678118654757</c:v>
                </c:pt>
                <c:pt idx="4">
                  <c:v>1.22514845490862E-16</c:v>
                </c:pt>
                <c:pt idx="5">
                  <c:v>-0.70710678118654746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A0A-428E-9E4A-E7A7A7A92CE7}"/>
            </c:ext>
          </c:extLst>
        </c:ser>
        <c:ser>
          <c:idx val="0"/>
          <c:order val="1"/>
          <c:tx>
            <c:strRef>
              <c:f>Arkusz2!$D$43</c:f>
              <c:strCache>
                <c:ptCount val="1"/>
                <c:pt idx="0">
                  <c:v>F(x) - III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Arkusz2!$D$44:$D$49</c:f>
              <c:numCache>
                <c:formatCode>General</c:formatCode>
                <c:ptCount val="6"/>
                <c:pt idx="0">
                  <c:v>0</c:v>
                </c:pt>
                <c:pt idx="1">
                  <c:v>0.70710678118654724</c:v>
                </c:pt>
                <c:pt idx="2">
                  <c:v>0.99999999999999845</c:v>
                </c:pt>
                <c:pt idx="3">
                  <c:v>0.70710678118654169</c:v>
                </c:pt>
                <c:pt idx="4">
                  <c:v>-2.042810365310288E-14</c:v>
                </c:pt>
                <c:pt idx="5">
                  <c:v>-0.70710678118659853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A0A-428E-9E4A-E7A7A7A92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28472"/>
        <c:axId val="524829552"/>
      </c:lineChart>
      <c:catAx>
        <c:axId val="524828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4829552"/>
        <c:crosses val="autoZero"/>
        <c:auto val="1"/>
        <c:lblAlgn val="ctr"/>
        <c:lblOffset val="100"/>
        <c:noMultiLvlLbl val="0"/>
      </c:catAx>
      <c:valAx>
        <c:axId val="5248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>
            <a:solidFill>
              <a:schemeClr val="tx1"/>
            </a:solidFill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482847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167640</xdr:rowOff>
    </xdr:from>
    <xdr:to>
      <xdr:col>9</xdr:col>
      <xdr:colOff>381000</xdr:colOff>
      <xdr:row>26</xdr:row>
      <xdr:rowOff>167640</xdr:rowOff>
    </xdr:to>
    <xdr:pic>
      <xdr:nvPicPr>
        <xdr:cNvPr id="2" name="Obraz 1" descr="Interpolacja liniowa - Linear interpolation - abcdef.wik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50520"/>
          <a:ext cx="5715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419100</xdr:colOff>
      <xdr:row>1</xdr:row>
      <xdr:rowOff>68580</xdr:rowOff>
    </xdr:from>
    <xdr:to>
      <xdr:col>21</xdr:col>
      <xdr:colOff>571500</xdr:colOff>
      <xdr:row>25</xdr:row>
      <xdr:rowOff>105886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487"/>
        <a:stretch/>
      </xdr:blipFill>
      <xdr:spPr bwMode="auto">
        <a:xfrm>
          <a:off x="7124700" y="251460"/>
          <a:ext cx="6248400" cy="4426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3572</xdr:colOff>
      <xdr:row>2</xdr:row>
      <xdr:rowOff>14287</xdr:rowOff>
    </xdr:from>
    <xdr:to>
      <xdr:col>12</xdr:col>
      <xdr:colOff>460771</xdr:colOff>
      <xdr:row>17</xdr:row>
      <xdr:rowOff>42862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4763</xdr:colOff>
      <xdr:row>19</xdr:row>
      <xdr:rowOff>180810</xdr:rowOff>
    </xdr:from>
    <xdr:to>
      <xdr:col>14</xdr:col>
      <xdr:colOff>461962</xdr:colOff>
      <xdr:row>37</xdr:row>
      <xdr:rowOff>25453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6569</xdr:colOff>
      <xdr:row>0</xdr:row>
      <xdr:rowOff>229913</xdr:rowOff>
    </xdr:from>
    <xdr:to>
      <xdr:col>14</xdr:col>
      <xdr:colOff>463768</xdr:colOff>
      <xdr:row>18</xdr:row>
      <xdr:rowOff>28574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24848</xdr:colOff>
      <xdr:row>42</xdr:row>
      <xdr:rowOff>4597</xdr:rowOff>
    </xdr:from>
    <xdr:to>
      <xdr:col>15</xdr:col>
      <xdr:colOff>320452</xdr:colOff>
      <xdr:row>56</xdr:row>
      <xdr:rowOff>1970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96</xdr:row>
      <xdr:rowOff>121920</xdr:rowOff>
    </xdr:from>
    <xdr:to>
      <xdr:col>10</xdr:col>
      <xdr:colOff>388340</xdr:colOff>
      <xdr:row>123</xdr:row>
      <xdr:rowOff>53340</xdr:rowOff>
    </xdr:to>
    <xdr:pic>
      <xdr:nvPicPr>
        <xdr:cNvPr id="209" name="Obraz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93640"/>
          <a:ext cx="6506321" cy="4869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121920</xdr:colOff>
      <xdr:row>8</xdr:row>
      <xdr:rowOff>91441</xdr:rowOff>
    </xdr:from>
    <xdr:to>
      <xdr:col>10</xdr:col>
      <xdr:colOff>229478</xdr:colOff>
      <xdr:row>29</xdr:row>
      <xdr:rowOff>117175</xdr:rowOff>
    </xdr:to>
    <xdr:pic>
      <xdr:nvPicPr>
        <xdr:cNvPr id="212" name="Obraz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20" y="1569721"/>
          <a:ext cx="6225539" cy="38662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7620</xdr:rowOff>
    </xdr:from>
    <xdr:to>
      <xdr:col>10</xdr:col>
      <xdr:colOff>496385</xdr:colOff>
      <xdr:row>71</xdr:row>
      <xdr:rowOff>60960</xdr:rowOff>
    </xdr:to>
    <xdr:pic>
      <xdr:nvPicPr>
        <xdr:cNvPr id="213" name="Obraz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532620"/>
          <a:ext cx="6614366" cy="35280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137160</xdr:colOff>
      <xdr:row>8</xdr:row>
      <xdr:rowOff>175260</xdr:rowOff>
    </xdr:from>
    <xdr:to>
      <xdr:col>17</xdr:col>
      <xdr:colOff>312633</xdr:colOff>
      <xdr:row>24</xdr:row>
      <xdr:rowOff>173358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23560" y="1653540"/>
          <a:ext cx="5052273" cy="292417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152400</xdr:rowOff>
    </xdr:from>
    <xdr:to>
      <xdr:col>8</xdr:col>
      <xdr:colOff>310736</xdr:colOff>
      <xdr:row>22</xdr:row>
      <xdr:rowOff>31224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30680"/>
          <a:ext cx="5187536" cy="2439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388620</xdr:colOff>
      <xdr:row>0</xdr:row>
      <xdr:rowOff>106680</xdr:rowOff>
    </xdr:from>
    <xdr:to>
      <xdr:col>11</xdr:col>
      <xdr:colOff>601148</xdr:colOff>
      <xdr:row>40</xdr:row>
      <xdr:rowOff>126855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011" t="8982"/>
        <a:stretch/>
      </xdr:blipFill>
      <xdr:spPr>
        <a:xfrm>
          <a:off x="388620" y="106680"/>
          <a:ext cx="6918128" cy="7335375"/>
        </a:xfrm>
        <a:prstGeom prst="rect">
          <a:avLst/>
        </a:prstGeom>
      </xdr:spPr>
    </xdr:pic>
    <xdr:clientData/>
  </xdr:twoCellAnchor>
  <xdr:twoCellAnchor editAs="oneCell">
    <xdr:from>
      <xdr:col>12</xdr:col>
      <xdr:colOff>320040</xdr:colOff>
      <xdr:row>1</xdr:row>
      <xdr:rowOff>60961</xdr:rowOff>
    </xdr:from>
    <xdr:to>
      <xdr:col>17</xdr:col>
      <xdr:colOff>599114</xdr:colOff>
      <xdr:row>7</xdr:row>
      <xdr:rowOff>167640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4526" b="91207"/>
        <a:stretch/>
      </xdr:blipFill>
      <xdr:spPr>
        <a:xfrm>
          <a:off x="7635240" y="243841"/>
          <a:ext cx="3327074" cy="12039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422912</xdr:colOff>
      <xdr:row>21</xdr:row>
      <xdr:rowOff>80011</xdr:rowOff>
    </xdr:from>
    <xdr:to>
      <xdr:col>16</xdr:col>
      <xdr:colOff>598385</xdr:colOff>
      <xdr:row>37</xdr:row>
      <xdr:rowOff>78109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32758" y="3985261"/>
          <a:ext cx="5685319" cy="2928867"/>
        </a:xfrm>
        <a:prstGeom prst="rect">
          <a:avLst/>
        </a:prstGeom>
      </xdr:spPr>
    </xdr:pic>
    <xdr:clientData/>
  </xdr:twoCellAnchor>
  <xdr:twoCellAnchor editAs="oneCell">
    <xdr:from>
      <xdr:col>0</xdr:col>
      <xdr:colOff>131885</xdr:colOff>
      <xdr:row>21</xdr:row>
      <xdr:rowOff>167054</xdr:rowOff>
    </xdr:from>
    <xdr:to>
      <xdr:col>8</xdr:col>
      <xdr:colOff>252121</xdr:colOff>
      <xdr:row>35</xdr:row>
      <xdr:rowOff>45878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885" y="4072304"/>
          <a:ext cx="5820582" cy="24432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10</xdr:row>
          <xdr:rowOff>171450</xdr:rowOff>
        </xdr:from>
        <xdr:to>
          <xdr:col>3</xdr:col>
          <xdr:colOff>685800</xdr:colOff>
          <xdr:row>12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10</xdr:row>
          <xdr:rowOff>171450</xdr:rowOff>
        </xdr:from>
        <xdr:to>
          <xdr:col>4</xdr:col>
          <xdr:colOff>685800</xdr:colOff>
          <xdr:row>12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171450</xdr:rowOff>
        </xdr:from>
        <xdr:to>
          <xdr:col>5</xdr:col>
          <xdr:colOff>685800</xdr:colOff>
          <xdr:row>12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0</xdr:rowOff>
        </xdr:from>
        <xdr:to>
          <xdr:col>4</xdr:col>
          <xdr:colOff>685800</xdr:colOff>
          <xdr:row>16</xdr:row>
          <xdr:rowOff>38100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4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0</xdr:row>
          <xdr:rowOff>104775</xdr:rowOff>
        </xdr:from>
        <xdr:to>
          <xdr:col>6</xdr:col>
          <xdr:colOff>47625</xdr:colOff>
          <xdr:row>0</xdr:row>
          <xdr:rowOff>352425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Aptos Narrow"/>
                </a:rPr>
                <a:t>Obliczanie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104775</xdr:rowOff>
        </xdr:from>
        <xdr:to>
          <xdr:col>7</xdr:col>
          <xdr:colOff>171450</xdr:colOff>
          <xdr:row>0</xdr:row>
          <xdr:rowOff>333375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76200</xdr:rowOff>
        </xdr:from>
        <xdr:to>
          <xdr:col>3</xdr:col>
          <xdr:colOff>0</xdr:colOff>
          <xdr:row>4</xdr:row>
          <xdr:rowOff>104775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</xdr:row>
          <xdr:rowOff>66675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</xdr:row>
          <xdr:rowOff>76200</xdr:rowOff>
        </xdr:from>
        <xdr:to>
          <xdr:col>9</xdr:col>
          <xdr:colOff>0</xdr:colOff>
          <xdr:row>2</xdr:row>
          <xdr:rowOff>114300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8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</xdr:row>
          <xdr:rowOff>85725</xdr:rowOff>
        </xdr:from>
        <xdr:to>
          <xdr:col>10</xdr:col>
          <xdr:colOff>0</xdr:colOff>
          <xdr:row>2</xdr:row>
          <xdr:rowOff>114300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8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0C28A-01AC-4F47-9CC3-2C3F16E214AB}">
  <sheetPr codeName="Arkusz1"/>
  <dimension ref="A1"/>
  <sheetViews>
    <sheetView workbookViewId="0">
      <selection activeCell="L13" sqref="L13"/>
    </sheetView>
  </sheetViews>
  <sheetFormatPr defaultRowHeight="14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9935B-92AA-4E52-8932-F0B6F3F80080}">
  <sheetPr codeName="Arkusz2"/>
  <dimension ref="A1:D6"/>
  <sheetViews>
    <sheetView zoomScale="145" zoomScaleNormal="145" workbookViewId="0">
      <selection activeCell="D2" sqref="D2"/>
    </sheetView>
  </sheetViews>
  <sheetFormatPr defaultRowHeight="14.25"/>
  <sheetData>
    <row r="1" spans="1:4" ht="18.75">
      <c r="A1" t="s">
        <v>0</v>
      </c>
      <c r="B1" t="s">
        <v>1</v>
      </c>
      <c r="C1" t="s">
        <v>2</v>
      </c>
      <c r="D1" t="s">
        <v>3</v>
      </c>
    </row>
    <row r="2" spans="1:4">
      <c r="B2">
        <v>0</v>
      </c>
      <c r="D2">
        <f t="shared" ref="D2:D4" si="0">B2+2</f>
        <v>2</v>
      </c>
    </row>
    <row r="3" spans="1:4">
      <c r="A3">
        <v>0</v>
      </c>
      <c r="B3">
        <v>1</v>
      </c>
      <c r="C3">
        <v>3</v>
      </c>
      <c r="D3">
        <f t="shared" si="0"/>
        <v>3</v>
      </c>
    </row>
    <row r="4" spans="1:4">
      <c r="B4">
        <v>2</v>
      </c>
      <c r="D4">
        <f t="shared" si="0"/>
        <v>4</v>
      </c>
    </row>
    <row r="5" spans="1:4">
      <c r="A5">
        <v>1</v>
      </c>
      <c r="B5">
        <v>3</v>
      </c>
      <c r="C5">
        <v>5</v>
      </c>
      <c r="D5">
        <f>B5+2</f>
        <v>5</v>
      </c>
    </row>
    <row r="6" spans="1:4">
      <c r="B6">
        <v>4</v>
      </c>
      <c r="D6">
        <f>B6+2</f>
        <v>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B9494-AD96-485F-A50F-671186343356}">
  <sheetPr codeName="Arkusz3"/>
  <dimension ref="A1:I65"/>
  <sheetViews>
    <sheetView topLeftCell="A31" zoomScale="85" zoomScaleNormal="85" workbookViewId="0">
      <selection activeCell="K64" sqref="K64"/>
    </sheetView>
  </sheetViews>
  <sheetFormatPr defaultRowHeight="14.25"/>
  <cols>
    <col min="1" max="1" width="9" customWidth="1"/>
    <col min="4" max="4" width="9.125" customWidth="1"/>
    <col min="5" max="5" width="8.625" customWidth="1"/>
  </cols>
  <sheetData>
    <row r="1" spans="1:6" ht="18.7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</row>
    <row r="2" spans="1:6">
      <c r="B2">
        <v>-1.5</v>
      </c>
      <c r="D2">
        <v>1</v>
      </c>
      <c r="E2">
        <f t="shared" ref="E2:E7" si="0">$A$20*B2^2+$A$21*B2+$A$22</f>
        <v>6.25</v>
      </c>
      <c r="F2">
        <f>$A$34*B2^5+$A$35*B2^4+$A$36*B2^3+$A$37*B2^2+$A$38*B2^1+$A$39</f>
        <v>1.000000000000016</v>
      </c>
    </row>
    <row r="3" spans="1:6">
      <c r="A3">
        <v>0</v>
      </c>
      <c r="B3">
        <v>-1</v>
      </c>
      <c r="C3">
        <v>3</v>
      </c>
      <c r="D3">
        <v>3</v>
      </c>
      <c r="E3">
        <f t="shared" si="0"/>
        <v>3</v>
      </c>
      <c r="F3">
        <f t="shared" ref="F3:F7" si="1">$A$34*B3^5+$A$35*B3^4+$A$36*B3^3+$A$37*B3^2+$A$38*B3^1+$A$39</f>
        <v>3.000000000000004</v>
      </c>
    </row>
    <row r="4" spans="1:6">
      <c r="B4">
        <v>-0.5</v>
      </c>
      <c r="D4">
        <v>1</v>
      </c>
      <c r="E4">
        <f t="shared" si="0"/>
        <v>1.25</v>
      </c>
      <c r="F4">
        <f t="shared" si="1"/>
        <v>1.0000000000000004</v>
      </c>
    </row>
    <row r="5" spans="1:6">
      <c r="A5">
        <v>1</v>
      </c>
      <c r="B5">
        <v>0</v>
      </c>
      <c r="C5">
        <v>1</v>
      </c>
      <c r="D5">
        <v>1</v>
      </c>
      <c r="E5">
        <f t="shared" si="0"/>
        <v>1</v>
      </c>
      <c r="F5">
        <f t="shared" si="1"/>
        <v>1</v>
      </c>
    </row>
    <row r="6" spans="1:6">
      <c r="B6">
        <v>0.5</v>
      </c>
      <c r="D6">
        <v>-1</v>
      </c>
      <c r="E6">
        <f t="shared" si="0"/>
        <v>2.25</v>
      </c>
      <c r="F6">
        <f t="shared" si="1"/>
        <v>-1</v>
      </c>
    </row>
    <row r="7" spans="1:6">
      <c r="A7">
        <v>2</v>
      </c>
      <c r="B7">
        <v>1</v>
      </c>
      <c r="C7">
        <v>5</v>
      </c>
      <c r="D7">
        <v>5</v>
      </c>
      <c r="E7">
        <f t="shared" si="0"/>
        <v>5</v>
      </c>
      <c r="F7">
        <f t="shared" si="1"/>
        <v>5</v>
      </c>
    </row>
    <row r="13" spans="1:6" ht="15" thickBot="1"/>
    <row r="14" spans="1:6" ht="15" thickBot="1">
      <c r="A14" s="15" t="s">
        <v>9</v>
      </c>
      <c r="B14" s="16" t="s">
        <v>10</v>
      </c>
      <c r="C14" s="16" t="s">
        <v>11</v>
      </c>
      <c r="D14" s="14"/>
    </row>
    <row r="15" spans="1:6">
      <c r="A15" s="7">
        <f>B3^2</f>
        <v>1</v>
      </c>
      <c r="B15">
        <f>B3</f>
        <v>-1</v>
      </c>
      <c r="C15">
        <v>1</v>
      </c>
      <c r="D15" s="12">
        <f>C3</f>
        <v>3</v>
      </c>
    </row>
    <row r="16" spans="1:6">
      <c r="A16" s="7">
        <f>B5^2</f>
        <v>0</v>
      </c>
      <c r="B16">
        <f>B5</f>
        <v>0</v>
      </c>
      <c r="C16">
        <v>1</v>
      </c>
      <c r="D16" s="12">
        <f>C5</f>
        <v>1</v>
      </c>
    </row>
    <row r="17" spans="1:7" ht="15" thickBot="1">
      <c r="A17" s="9">
        <f>B7^2</f>
        <v>1</v>
      </c>
      <c r="B17" s="1">
        <f>B7</f>
        <v>1</v>
      </c>
      <c r="C17" s="1">
        <v>1</v>
      </c>
      <c r="D17" s="13">
        <f>C7</f>
        <v>5</v>
      </c>
    </row>
    <row r="20" spans="1:7">
      <c r="A20" cm="1">
        <f t="array" ref="A20:A22">MMULT(MINVERSE(A15:C17),D15:D17)</f>
        <v>3</v>
      </c>
    </row>
    <row r="21" spans="1:7">
      <c r="A21">
        <v>1</v>
      </c>
    </row>
    <row r="22" spans="1:7">
      <c r="A22" s="2">
        <v>1</v>
      </c>
      <c r="B22" s="2"/>
    </row>
    <row r="24" spans="1:7" ht="15" thickBot="1"/>
    <row r="25" spans="1:7" ht="15" thickBot="1">
      <c r="A25" s="15" t="s">
        <v>9</v>
      </c>
      <c r="B25" s="16" t="s">
        <v>10</v>
      </c>
      <c r="C25" s="16" t="s">
        <v>11</v>
      </c>
      <c r="D25" s="16" t="s">
        <v>12</v>
      </c>
      <c r="E25" s="16" t="s">
        <v>13</v>
      </c>
      <c r="F25" s="16" t="s">
        <v>14</v>
      </c>
      <c r="G25" s="14"/>
    </row>
    <row r="26" spans="1:7">
      <c r="A26" s="4">
        <f>B2^5</f>
        <v>-7.59375</v>
      </c>
      <c r="B26" s="5">
        <f>B2^4</f>
        <v>5.0625</v>
      </c>
      <c r="C26" s="5">
        <f>B2^3</f>
        <v>-3.375</v>
      </c>
      <c r="D26" s="5">
        <f>B2^2</f>
        <v>2.25</v>
      </c>
      <c r="E26" s="5">
        <f>B2</f>
        <v>-1.5</v>
      </c>
      <c r="F26" s="6">
        <v>1</v>
      </c>
      <c r="G26" s="11">
        <f>D2</f>
        <v>1</v>
      </c>
    </row>
    <row r="27" spans="1:7">
      <c r="A27" s="7">
        <f t="shared" ref="A27:A31" si="2">B3^5</f>
        <v>-1</v>
      </c>
      <c r="B27">
        <f t="shared" ref="B27:B31" si="3">B3^4</f>
        <v>1</v>
      </c>
      <c r="C27">
        <f t="shared" ref="C27:C31" si="4">B3^3</f>
        <v>-1</v>
      </c>
      <c r="D27">
        <f t="shared" ref="D27:D31" si="5">B3^2</f>
        <v>1</v>
      </c>
      <c r="E27">
        <f t="shared" ref="E27:E31" si="6">B3</f>
        <v>-1</v>
      </c>
      <c r="F27" s="8">
        <v>1</v>
      </c>
      <c r="G27" s="12">
        <f t="shared" ref="G27:G31" si="7">D3</f>
        <v>3</v>
      </c>
    </row>
    <row r="28" spans="1:7">
      <c r="A28" s="7">
        <f t="shared" si="2"/>
        <v>-3.125E-2</v>
      </c>
      <c r="B28">
        <f t="shared" si="3"/>
        <v>6.25E-2</v>
      </c>
      <c r="C28">
        <f t="shared" si="4"/>
        <v>-0.125</v>
      </c>
      <c r="D28">
        <f t="shared" si="5"/>
        <v>0.25</v>
      </c>
      <c r="E28">
        <f t="shared" si="6"/>
        <v>-0.5</v>
      </c>
      <c r="F28" s="8">
        <v>1</v>
      </c>
      <c r="G28" s="12">
        <f t="shared" si="7"/>
        <v>1</v>
      </c>
    </row>
    <row r="29" spans="1:7">
      <c r="A29" s="7">
        <f t="shared" si="2"/>
        <v>0</v>
      </c>
      <c r="B29">
        <f t="shared" si="3"/>
        <v>0</v>
      </c>
      <c r="C29">
        <f t="shared" si="4"/>
        <v>0</v>
      </c>
      <c r="D29">
        <f t="shared" si="5"/>
        <v>0</v>
      </c>
      <c r="E29">
        <f t="shared" si="6"/>
        <v>0</v>
      </c>
      <c r="F29" s="8">
        <v>1</v>
      </c>
      <c r="G29" s="12">
        <f t="shared" si="7"/>
        <v>1</v>
      </c>
    </row>
    <row r="30" spans="1:7">
      <c r="A30" s="7">
        <f t="shared" si="2"/>
        <v>3.125E-2</v>
      </c>
      <c r="B30">
        <f t="shared" si="3"/>
        <v>6.25E-2</v>
      </c>
      <c r="C30">
        <f t="shared" si="4"/>
        <v>0.125</v>
      </c>
      <c r="D30">
        <f t="shared" si="5"/>
        <v>0.25</v>
      </c>
      <c r="E30">
        <f t="shared" si="6"/>
        <v>0.5</v>
      </c>
      <c r="F30" s="8">
        <v>1</v>
      </c>
      <c r="G30" s="12">
        <f t="shared" si="7"/>
        <v>-1</v>
      </c>
    </row>
    <row r="31" spans="1:7" ht="15" thickBot="1">
      <c r="A31" s="9">
        <f t="shared" si="2"/>
        <v>1</v>
      </c>
      <c r="B31" s="1">
        <f t="shared" si="3"/>
        <v>1</v>
      </c>
      <c r="C31" s="1">
        <f t="shared" si="4"/>
        <v>1</v>
      </c>
      <c r="D31" s="1">
        <f t="shared" si="5"/>
        <v>1</v>
      </c>
      <c r="E31" s="1">
        <f t="shared" si="6"/>
        <v>1</v>
      </c>
      <c r="F31" s="10">
        <v>1</v>
      </c>
      <c r="G31" s="13">
        <f t="shared" si="7"/>
        <v>5</v>
      </c>
    </row>
    <row r="34" spans="1:9">
      <c r="A34" cm="1">
        <f t="array" ref="A34:A39">MMULT(MINVERSE(A26:F31),G26:G31)</f>
        <v>6.4000000000000012</v>
      </c>
    </row>
    <row r="35" spans="1:9">
      <c r="A35" s="3">
        <v>9.3333333333333357</v>
      </c>
      <c r="B35" s="3"/>
      <c r="C35" s="3"/>
      <c r="D35" s="3"/>
      <c r="E35" s="3"/>
      <c r="F35" s="3"/>
      <c r="G35" s="3"/>
      <c r="H35" s="3"/>
      <c r="I35" s="3"/>
    </row>
    <row r="36" spans="1:9">
      <c r="A36">
        <v>-4.0000000000000036</v>
      </c>
    </row>
    <row r="37" spans="1:9">
      <c r="A37">
        <v>-6.3333333333333339</v>
      </c>
    </row>
    <row r="38" spans="1:9">
      <c r="A38">
        <v>-1.4</v>
      </c>
    </row>
    <row r="39" spans="1:9">
      <c r="A39">
        <v>1</v>
      </c>
    </row>
    <row r="43" spans="1:9" ht="18.75">
      <c r="A43" t="s">
        <v>0</v>
      </c>
      <c r="B43" t="s">
        <v>4</v>
      </c>
      <c r="C43" t="s">
        <v>15</v>
      </c>
      <c r="D43" t="s">
        <v>16</v>
      </c>
    </row>
    <row r="44" spans="1:9">
      <c r="A44">
        <v>0</v>
      </c>
      <c r="B44">
        <f>PI()/4*A44</f>
        <v>0</v>
      </c>
      <c r="C44">
        <f>SIN(B44)</f>
        <v>0</v>
      </c>
      <c r="D44">
        <f>$B$60*B44^5+$B$61*B44^4+$B$62*B44^3+$B$63*B44^2+$B$64*B44+$B$65</f>
        <v>0</v>
      </c>
    </row>
    <row r="45" spans="1:9">
      <c r="A45">
        <v>1</v>
      </c>
      <c r="B45">
        <f t="shared" ref="B45:B49" si="8">PI()/4*A45</f>
        <v>0.78539816339744828</v>
      </c>
      <c r="C45">
        <f t="shared" ref="C45:C49" si="9">SIN(B45)</f>
        <v>0.70710678118654746</v>
      </c>
      <c r="D45">
        <f t="shared" ref="D45:D49" si="10">$B$60*B45^5+$B$61*B45^4+$B$62*B45^3+$B$63*B45^2+$B$64*B45+$B$65</f>
        <v>0.70710678118654724</v>
      </c>
    </row>
    <row r="46" spans="1:9">
      <c r="A46">
        <v>2</v>
      </c>
      <c r="B46">
        <f t="shared" si="8"/>
        <v>1.5707963267948966</v>
      </c>
      <c r="C46">
        <f t="shared" si="9"/>
        <v>1</v>
      </c>
      <c r="D46">
        <f t="shared" si="10"/>
        <v>0.99999999999999845</v>
      </c>
    </row>
    <row r="47" spans="1:9">
      <c r="A47">
        <v>3</v>
      </c>
      <c r="B47">
        <f t="shared" si="8"/>
        <v>2.3561944901923448</v>
      </c>
      <c r="C47">
        <f t="shared" si="9"/>
        <v>0.70710678118654757</v>
      </c>
      <c r="D47">
        <f t="shared" si="10"/>
        <v>0.70710678118654169</v>
      </c>
    </row>
    <row r="48" spans="1:9">
      <c r="A48">
        <v>4</v>
      </c>
      <c r="B48">
        <f t="shared" si="8"/>
        <v>3.1415926535897931</v>
      </c>
      <c r="C48">
        <f t="shared" si="9"/>
        <v>1.22514845490862E-16</v>
      </c>
      <c r="D48">
        <f t="shared" si="10"/>
        <v>-2.042810365310288E-14</v>
      </c>
    </row>
    <row r="49" spans="1:8">
      <c r="A49">
        <v>5</v>
      </c>
      <c r="B49">
        <f t="shared" si="8"/>
        <v>3.9269908169872414</v>
      </c>
      <c r="C49">
        <f t="shared" si="9"/>
        <v>-0.70710678118654746</v>
      </c>
      <c r="D49">
        <f t="shared" si="10"/>
        <v>-0.70710678118659853</v>
      </c>
    </row>
    <row r="51" spans="1:8" ht="15" thickBot="1"/>
    <row r="52" spans="1:8" ht="15" thickBot="1">
      <c r="A52" s="18" t="s">
        <v>9</v>
      </c>
      <c r="B52" s="19" t="s">
        <v>10</v>
      </c>
      <c r="C52" s="19" t="s">
        <v>11</v>
      </c>
      <c r="D52" s="19" t="s">
        <v>12</v>
      </c>
      <c r="E52" s="19" t="s">
        <v>13</v>
      </c>
      <c r="F52" s="19" t="s">
        <v>14</v>
      </c>
      <c r="G52" s="14"/>
    </row>
    <row r="53" spans="1:8">
      <c r="A53" s="4">
        <f>B44^5</f>
        <v>0</v>
      </c>
      <c r="B53" s="5">
        <f>B44^4</f>
        <v>0</v>
      </c>
      <c r="C53" s="5">
        <f>B44^3</f>
        <v>0</v>
      </c>
      <c r="D53" s="5">
        <f>B44^2</f>
        <v>0</v>
      </c>
      <c r="E53" s="5">
        <f>B44</f>
        <v>0</v>
      </c>
      <c r="F53" s="5">
        <v>1</v>
      </c>
      <c r="G53" s="12">
        <f>C44</f>
        <v>0</v>
      </c>
    </row>
    <row r="54" spans="1:8">
      <c r="A54" s="7">
        <f t="shared" ref="A54:A58" si="11">B45^5</f>
        <v>0.29884734842312638</v>
      </c>
      <c r="B54">
        <f t="shared" ref="B54:B58" si="12">B45^4</f>
        <v>0.38050426185157199</v>
      </c>
      <c r="C54">
        <f t="shared" ref="C54:C58" si="13">B45^3</f>
        <v>0.48447307312968463</v>
      </c>
      <c r="D54">
        <f t="shared" ref="D54:D58" si="14">B45^2</f>
        <v>0.61685027506808487</v>
      </c>
      <c r="E54">
        <f t="shared" ref="E54:E58" si="15">B45</f>
        <v>0.78539816339744828</v>
      </c>
      <c r="F54">
        <v>1</v>
      </c>
      <c r="G54" s="12">
        <f t="shared" ref="G54:G58" si="16">C45</f>
        <v>0.70710678118654746</v>
      </c>
    </row>
    <row r="55" spans="1:8">
      <c r="A55" s="7">
        <f t="shared" si="11"/>
        <v>9.5631151495400442</v>
      </c>
      <c r="B55">
        <f t="shared" si="12"/>
        <v>6.0880681896251518</v>
      </c>
      <c r="C55">
        <f t="shared" si="13"/>
        <v>3.875784585037477</v>
      </c>
      <c r="D55">
        <f t="shared" si="14"/>
        <v>2.4674011002723395</v>
      </c>
      <c r="E55">
        <f t="shared" si="15"/>
        <v>1.5707963267948966</v>
      </c>
      <c r="F55">
        <v>1</v>
      </c>
      <c r="G55" s="12">
        <f t="shared" si="16"/>
        <v>1</v>
      </c>
    </row>
    <row r="56" spans="1:8">
      <c r="A56" s="7">
        <f t="shared" si="11"/>
        <v>72.619905666819719</v>
      </c>
      <c r="B56">
        <f t="shared" si="12"/>
        <v>30.820845209977332</v>
      </c>
      <c r="C56">
        <f t="shared" si="13"/>
        <v>13.080772974501485</v>
      </c>
      <c r="D56">
        <f t="shared" si="14"/>
        <v>5.5516524756127641</v>
      </c>
      <c r="E56">
        <f t="shared" si="15"/>
        <v>2.3561944901923448</v>
      </c>
      <c r="F56">
        <v>1</v>
      </c>
      <c r="G56" s="12">
        <f t="shared" si="16"/>
        <v>0.70710678118654757</v>
      </c>
    </row>
    <row r="57" spans="1:8">
      <c r="A57" s="7">
        <f t="shared" si="11"/>
        <v>306.01968478528141</v>
      </c>
      <c r="B57">
        <f t="shared" si="12"/>
        <v>97.409091034002429</v>
      </c>
      <c r="C57">
        <f t="shared" si="13"/>
        <v>31.006276680299816</v>
      </c>
      <c r="D57">
        <f t="shared" si="14"/>
        <v>9.869604401089358</v>
      </c>
      <c r="E57">
        <f t="shared" si="15"/>
        <v>3.1415926535897931</v>
      </c>
      <c r="F57">
        <v>1</v>
      </c>
      <c r="G57" s="12">
        <f t="shared" si="16"/>
        <v>1.22514845490862E-16</v>
      </c>
    </row>
    <row r="58" spans="1:8" ht="15" thickBot="1">
      <c r="A58" s="9">
        <f t="shared" si="11"/>
        <v>933.89796382226996</v>
      </c>
      <c r="B58" s="1">
        <f t="shared" si="12"/>
        <v>237.81516365723249</v>
      </c>
      <c r="C58" s="1">
        <f t="shared" si="13"/>
        <v>60.559134141210578</v>
      </c>
      <c r="D58" s="1">
        <f t="shared" si="14"/>
        <v>15.421256876702122</v>
      </c>
      <c r="E58" s="1">
        <f t="shared" si="15"/>
        <v>3.9269908169872414</v>
      </c>
      <c r="F58" s="1">
        <v>1</v>
      </c>
      <c r="G58" s="13">
        <f t="shared" si="16"/>
        <v>-0.70710678118654746</v>
      </c>
    </row>
    <row r="60" spans="1:8">
      <c r="B60" cm="1">
        <f t="array" ref="B60:B65">MMULT(MINVERSE(A53:F58),G53:G58)</f>
        <v>-2.8025752924429916E-3</v>
      </c>
    </row>
    <row r="61" spans="1:8">
      <c r="B61">
        <v>5.9587142186480799E-2</v>
      </c>
      <c r="E61" t="s">
        <v>17</v>
      </c>
    </row>
    <row r="62" spans="1:8">
      <c r="B62">
        <v>-0.29660243598100705</v>
      </c>
      <c r="E62" s="17">
        <f>PI()/6</f>
        <v>0.52359877559829882</v>
      </c>
      <c r="F62">
        <f>$B$60*E62^5+$B$61*E62^4+$B$62*E62^3+$B$63*E62^2+$B$64*E62+$B$65</f>
        <v>0.49714051996110969</v>
      </c>
      <c r="G62">
        <f>F62-0.5</f>
        <v>-2.8594800388903052E-3</v>
      </c>
      <c r="H62">
        <v>5.8299039780523976E-2</v>
      </c>
    </row>
    <row r="63" spans="1:8">
      <c r="B63">
        <v>0.12617632670461065</v>
      </c>
    </row>
    <row r="64" spans="1:8">
      <c r="B64">
        <v>0.95637498106865104</v>
      </c>
    </row>
    <row r="65" spans="2:2">
      <c r="B65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FEA0-1E81-48B3-8FCF-3FFC7374F745}">
  <sheetPr codeName="Arkusz4"/>
  <dimension ref="A1:I41"/>
  <sheetViews>
    <sheetView zoomScale="130" zoomScaleNormal="130" workbookViewId="0">
      <selection activeCell="E34" sqref="E34:E35"/>
    </sheetView>
  </sheetViews>
  <sheetFormatPr defaultRowHeight="14.25"/>
  <cols>
    <col min="7" max="7" width="9.375" bestFit="1" customWidth="1"/>
  </cols>
  <sheetData>
    <row r="1" spans="1:4" ht="18.75">
      <c r="A1" t="s">
        <v>0</v>
      </c>
      <c r="B1" t="s">
        <v>4</v>
      </c>
      <c r="C1" t="s">
        <v>2</v>
      </c>
      <c r="D1" t="s">
        <v>18</v>
      </c>
    </row>
    <row r="3" spans="1:4">
      <c r="A3">
        <v>0</v>
      </c>
      <c r="B3">
        <v>-1</v>
      </c>
      <c r="C3">
        <v>2</v>
      </c>
      <c r="D3">
        <f>$C$3*((B3-$B$4)*(B3-$B$5))/(($B$3-$B$4)*($B$3-$B$5))+$C$4*((B3-$B$3)*(B3-$B$5))/(($B$4-$B$3)*($B$4-$B$5))+$C$5*((B3-$B$3)*(B3-$B$4))/(($B$5-$B$3)*($B$5-$B$4))</f>
        <v>2</v>
      </c>
    </row>
    <row r="4" spans="1:4">
      <c r="A4">
        <v>1</v>
      </c>
      <c r="B4">
        <v>0</v>
      </c>
      <c r="C4">
        <v>1</v>
      </c>
      <c r="D4">
        <f t="shared" ref="D4:D5" si="0">$C$3*((B4-$B$4)*(B4-$B$5))/(($B$3-$B$4)*($B$3-$B$5))+$C$4*((B4-$B$3)*(B4-$B$5))/(($B$4-$B$3)*($B$4-$B$5))+$C$5*((B4-$B$3)*(B4-$B$4))/(($B$5-$B$3)*($B$5-$B$4))</f>
        <v>1</v>
      </c>
    </row>
    <row r="5" spans="1:4">
      <c r="A5">
        <v>2</v>
      </c>
      <c r="B5">
        <v>1</v>
      </c>
      <c r="C5">
        <v>3</v>
      </c>
      <c r="D5">
        <f t="shared" si="0"/>
        <v>3</v>
      </c>
    </row>
    <row r="20" spans="1:6">
      <c r="A20" s="2"/>
      <c r="B20" s="2"/>
    </row>
    <row r="28" spans="1:6">
      <c r="A28" s="3"/>
      <c r="B28" s="3"/>
      <c r="C28" s="3"/>
      <c r="D28" s="3"/>
      <c r="E28" s="3"/>
      <c r="F28" s="3"/>
    </row>
    <row r="33" spans="1:9">
      <c r="A33" s="3"/>
      <c r="B33" s="3"/>
      <c r="C33" s="3"/>
      <c r="D33" s="3"/>
      <c r="E33" s="3"/>
      <c r="F33" s="3"/>
      <c r="G33" s="3"/>
      <c r="H33" s="3"/>
      <c r="I33" s="3"/>
    </row>
    <row r="41" spans="1:9">
      <c r="A41" s="3"/>
      <c r="B41" s="3"/>
      <c r="C41" s="3"/>
    </row>
  </sheetData>
  <pageMargins left="0.25" right="0.25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4EB1-493B-4D1E-A07A-C297627806B8}">
  <sheetPr codeName="Arkusz5"/>
  <dimension ref="A1:J41"/>
  <sheetViews>
    <sheetView zoomScale="130" zoomScaleNormal="130" workbookViewId="0">
      <selection activeCell="J3" sqref="J3"/>
    </sheetView>
  </sheetViews>
  <sheetFormatPr defaultRowHeight="14.25"/>
  <sheetData>
    <row r="1" spans="1:10" ht="18.75">
      <c r="A1" t="s">
        <v>0</v>
      </c>
      <c r="B1" t="s">
        <v>4</v>
      </c>
      <c r="C1" t="s">
        <v>2</v>
      </c>
      <c r="J1" t="s">
        <v>18</v>
      </c>
    </row>
    <row r="2" spans="1:10">
      <c r="C2" t="s">
        <v>19</v>
      </c>
      <c r="D2" t="s">
        <v>20</v>
      </c>
      <c r="E2" t="s">
        <v>21</v>
      </c>
      <c r="F2" t="s">
        <v>22</v>
      </c>
    </row>
    <row r="3" spans="1:10">
      <c r="A3">
        <v>0</v>
      </c>
      <c r="B3">
        <v>-1</v>
      </c>
      <c r="C3" s="20">
        <v>2</v>
      </c>
      <c r="D3" s="20">
        <f>(C3-C4)/(B3-B4)</f>
        <v>-1</v>
      </c>
      <c r="E3" s="20">
        <f>(D3-D4)/(B3-B5)</f>
        <v>1.5</v>
      </c>
      <c r="F3" s="20">
        <f>(E3-E4)/(B3-B6)</f>
        <v>-1</v>
      </c>
      <c r="J3">
        <f>$C$3+$D$3*(B3-$B$3)+$E$3*(B3-$B$3)*(B3-$B$4)+$F$3*(B3-$B$3)*(B3-$B$4)*(B3-$B$5)</f>
        <v>2</v>
      </c>
    </row>
    <row r="4" spans="1:10">
      <c r="A4">
        <v>1</v>
      </c>
      <c r="B4">
        <v>0</v>
      </c>
      <c r="C4">
        <v>1</v>
      </c>
      <c r="D4">
        <f>(C4-C5)/(B4-B5)</f>
        <v>2</v>
      </c>
      <c r="E4">
        <f>(D4-D5)/(B4-B6)</f>
        <v>-1.5</v>
      </c>
      <c r="J4">
        <f t="shared" ref="J4:J6" si="0">$C$3+$D$3*(B4-$B$3)+$E$3*(B4-$B$3)*(B4-$B$4)+$F$3*(B4-$B$3)*(B4-$B$4)*(B4-$B$5)</f>
        <v>1</v>
      </c>
    </row>
    <row r="5" spans="1:10">
      <c r="A5">
        <v>2</v>
      </c>
      <c r="B5">
        <v>1</v>
      </c>
      <c r="C5">
        <v>3</v>
      </c>
      <c r="D5">
        <f>(C5-C6)/(B5-B6)</f>
        <v>-1</v>
      </c>
      <c r="J5">
        <f t="shared" si="0"/>
        <v>3</v>
      </c>
    </row>
    <row r="6" spans="1:10">
      <c r="A6">
        <v>3</v>
      </c>
      <c r="B6">
        <v>2</v>
      </c>
      <c r="C6">
        <v>2</v>
      </c>
      <c r="J6">
        <f t="shared" si="0"/>
        <v>2</v>
      </c>
    </row>
    <row r="20" spans="1:6">
      <c r="A20" s="2"/>
      <c r="B20" s="2"/>
    </row>
    <row r="28" spans="1:6">
      <c r="A28" s="3"/>
      <c r="B28" s="3"/>
      <c r="C28" s="3"/>
      <c r="D28" s="3"/>
      <c r="E28" s="3"/>
      <c r="F28" s="3"/>
    </row>
    <row r="33" spans="1:9">
      <c r="A33" s="3"/>
      <c r="B33" s="3"/>
      <c r="C33" s="3"/>
      <c r="D33" s="3"/>
      <c r="E33" s="3"/>
      <c r="F33" s="3"/>
      <c r="G33" s="3"/>
      <c r="H33" s="3"/>
      <c r="I33" s="3"/>
    </row>
    <row r="41" spans="1:9">
      <c r="A41" s="3"/>
      <c r="B41" s="3"/>
      <c r="C41" s="3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48365-3568-4DC0-A2CD-4CFC0A374285}">
  <sheetPr codeName="Arkusz6"/>
  <dimension ref="A1"/>
  <sheetViews>
    <sheetView zoomScale="85" zoomScaleNormal="85" workbookViewId="0">
      <selection activeCell="P16" sqref="P16"/>
    </sheetView>
  </sheetViews>
  <sheetFormatPr defaultRowHeight="14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6B3EE-E704-486E-BF54-5A0F36D9F1C6}">
  <sheetPr codeName="Arkusz8"/>
  <dimension ref="A1:K41"/>
  <sheetViews>
    <sheetView zoomScaleNormal="100" workbookViewId="0">
      <selection activeCell="F6" sqref="F6"/>
    </sheetView>
  </sheetViews>
  <sheetFormatPr defaultRowHeight="14.25"/>
  <cols>
    <col min="4" max="5" width="10" bestFit="1" customWidth="1"/>
    <col min="6" max="6" width="9.5" bestFit="1" customWidth="1"/>
  </cols>
  <sheetData>
    <row r="1" spans="1:11" ht="18.75">
      <c r="A1" t="s">
        <v>0</v>
      </c>
      <c r="B1" t="s">
        <v>4</v>
      </c>
      <c r="C1" t="s">
        <v>2</v>
      </c>
      <c r="J1" t="s">
        <v>28</v>
      </c>
    </row>
    <row r="2" spans="1:11">
      <c r="C2" t="s">
        <v>19</v>
      </c>
      <c r="D2" t="s">
        <v>20</v>
      </c>
      <c r="E2" t="s">
        <v>21</v>
      </c>
      <c r="F2" t="s">
        <v>22</v>
      </c>
    </row>
    <row r="3" spans="1:11">
      <c r="A3">
        <v>0</v>
      </c>
      <c r="B3">
        <v>-1</v>
      </c>
      <c r="C3" s="20">
        <v>2</v>
      </c>
      <c r="D3" s="30">
        <f>(C3-C4)/(B3-B4)</f>
        <v>-1</v>
      </c>
      <c r="E3" s="30">
        <f>(D3-D4)/(B3-B5)</f>
        <v>1.5</v>
      </c>
      <c r="F3" s="30">
        <f>(E3-E4)/(B3-B6)</f>
        <v>-1</v>
      </c>
      <c r="J3">
        <f>$C$3+$D$3*(B3-$B$3)+$E$3*(B3-$B$3)*(B3-$B$4)+$F$3*(B3-$B$3)*(B3-$B$4)*(B3-$B$5)</f>
        <v>2</v>
      </c>
    </row>
    <row r="4" spans="1:11">
      <c r="A4">
        <v>1</v>
      </c>
      <c r="B4">
        <v>0</v>
      </c>
      <c r="C4">
        <v>1</v>
      </c>
      <c r="D4" s="31">
        <f>(C4-C5)/(B4-B5)</f>
        <v>2</v>
      </c>
      <c r="E4" s="31">
        <f>(D4-D5)/(B4-B6)</f>
        <v>-1.5</v>
      </c>
      <c r="J4">
        <f>$C$3+$D$3*(B4-$B$3)+$E$3*(B4-$B$3)*(B4-$B$4)+$F$3*(B4-$B$3)*(B4-$B$4)*(B4-$B$5)</f>
        <v>1</v>
      </c>
    </row>
    <row r="5" spans="1:11">
      <c r="A5">
        <v>2</v>
      </c>
      <c r="B5">
        <v>1</v>
      </c>
      <c r="C5">
        <v>3</v>
      </c>
      <c r="D5" s="31">
        <f>(C5-C6)/(B5-B6)</f>
        <v>-1</v>
      </c>
      <c r="J5">
        <f>$C$3+$D$3*(B5-$B$3)+$E$3*(B5-$B$3)*(B5-$B$4)+$F$3*(B5-$B$3)*(B5-$B$4)*(B5-$B$5)</f>
        <v>3</v>
      </c>
    </row>
    <row r="6" spans="1:11">
      <c r="A6">
        <v>3</v>
      </c>
      <c r="B6">
        <v>2</v>
      </c>
      <c r="C6">
        <v>2</v>
      </c>
      <c r="J6">
        <f>$C$3+$D$3*(B6-$B$3)+$E$3*(B6-$B$3)*(B6-$B$4)+$F$3*(B6-$B$3)*(B6-$B$4)*(B6-$B$5)</f>
        <v>2</v>
      </c>
    </row>
    <row r="7" spans="1:11">
      <c r="B7" s="22"/>
      <c r="C7" s="22"/>
    </row>
    <row r="8" spans="1:11">
      <c r="C8" s="22"/>
      <c r="D8" s="29">
        <v>-1</v>
      </c>
      <c r="E8" s="29">
        <v>0</v>
      </c>
      <c r="F8" s="29">
        <v>0</v>
      </c>
      <c r="G8" s="24"/>
    </row>
    <row r="9" spans="1:11">
      <c r="C9" s="22"/>
      <c r="D9" s="29">
        <v>2</v>
      </c>
      <c r="E9" s="29">
        <v>0</v>
      </c>
      <c r="F9" s="29"/>
      <c r="G9" s="24"/>
    </row>
    <row r="10" spans="1:11">
      <c r="C10" s="22"/>
      <c r="D10" s="29">
        <v>-1</v>
      </c>
      <c r="E10" s="29"/>
      <c r="F10" s="29"/>
      <c r="G10" s="24"/>
    </row>
    <row r="11" spans="1:11">
      <c r="D11" s="22"/>
      <c r="E11" s="22"/>
      <c r="F11" s="22"/>
    </row>
    <row r="13" spans="1:11">
      <c r="H13" s="23"/>
      <c r="I13" s="23"/>
      <c r="J13" s="23"/>
      <c r="K13" s="23"/>
    </row>
    <row r="14" spans="1:11">
      <c r="H14" s="23"/>
      <c r="I14" s="23"/>
      <c r="J14" s="23"/>
      <c r="K14" s="23"/>
    </row>
    <row r="15" spans="1:11">
      <c r="H15" s="23"/>
      <c r="I15" s="23"/>
      <c r="J15" s="23"/>
      <c r="K15" s="23"/>
    </row>
    <row r="20" spans="1:6">
      <c r="A20" s="2"/>
      <c r="B20" s="2"/>
    </row>
    <row r="28" spans="1:6">
      <c r="A28" s="3"/>
      <c r="B28" s="3"/>
      <c r="C28" s="3"/>
      <c r="D28" s="3"/>
      <c r="E28" s="3"/>
      <c r="F28" s="3"/>
    </row>
    <row r="33" spans="1:9">
      <c r="A33" s="3"/>
      <c r="B33" s="3"/>
      <c r="C33" s="3"/>
      <c r="D33" s="3"/>
      <c r="E33" s="3"/>
      <c r="F33" s="3"/>
      <c r="G33" s="3"/>
      <c r="H33" s="3"/>
      <c r="I33" s="3"/>
    </row>
    <row r="41" spans="1:9">
      <c r="A41" s="3"/>
      <c r="B41" s="3"/>
      <c r="C41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todaNewtona_Przycisk1_Click">
                <anchor moveWithCells="1">
                  <from>
                    <xdr:col>3</xdr:col>
                    <xdr:colOff>28575</xdr:colOff>
                    <xdr:row>10</xdr:row>
                    <xdr:rowOff>171450</xdr:rowOff>
                  </from>
                  <to>
                    <xdr:col>3</xdr:col>
                    <xdr:colOff>685800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rzycisk2_Click">
                <anchor moveWithCells="1">
                  <from>
                    <xdr:col>4</xdr:col>
                    <xdr:colOff>47625</xdr:colOff>
                    <xdr:row>10</xdr:row>
                    <xdr:rowOff>171450</xdr:rowOff>
                  </from>
                  <to>
                    <xdr:col>4</xdr:col>
                    <xdr:colOff>685800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MetodaNewtona_Przycisk3_Click">
                <anchor moveWithCells="1">
                  <from>
                    <xdr:col>5</xdr:col>
                    <xdr:colOff>76200</xdr:colOff>
                    <xdr:row>10</xdr:row>
                    <xdr:rowOff>171450</xdr:rowOff>
                  </from>
                  <to>
                    <xdr:col>5</xdr:col>
                    <xdr:colOff>685800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MetodaNewtona_Przycisk4_Click">
                <anchor moveWithCells="1">
                  <from>
                    <xdr:col>4</xdr:col>
                    <xdr:colOff>19050</xdr:colOff>
                    <xdr:row>15</xdr:row>
                    <xdr:rowOff>0</xdr:rowOff>
                  </from>
                  <to>
                    <xdr:col>4</xdr:col>
                    <xdr:colOff>685800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E110-14EA-4F1F-9141-37BBDBB8A0F7}">
  <sheetPr codeName="Arkusz11"/>
  <dimension ref="A1:BR4"/>
  <sheetViews>
    <sheetView tabSelected="1" zoomScaleNormal="100" workbookViewId="0">
      <selection activeCell="D4" sqref="D4"/>
    </sheetView>
  </sheetViews>
  <sheetFormatPr defaultRowHeight="14.25"/>
  <cols>
    <col min="4" max="9" width="9" style="27"/>
    <col min="10" max="10" width="8.375" style="27" customWidth="1"/>
    <col min="11" max="26" width="9" style="27"/>
  </cols>
  <sheetData>
    <row r="1" spans="1:70" ht="39.950000000000003" customHeight="1" thickBot="1">
      <c r="B1" s="25" t="s">
        <v>31</v>
      </c>
      <c r="C1" s="25" t="s">
        <v>29</v>
      </c>
      <c r="D1" s="28" t="s">
        <v>30</v>
      </c>
      <c r="J1" s="35"/>
    </row>
    <row r="2" spans="1:70" ht="15.75" thickBot="1">
      <c r="B2" s="34">
        <v>4</v>
      </c>
      <c r="C2" s="32">
        <v>-5</v>
      </c>
      <c r="D2" s="33">
        <v>3</v>
      </c>
    </row>
    <row r="3" spans="1:70" ht="15">
      <c r="A3" t="s">
        <v>0</v>
      </c>
      <c r="B3" s="25" t="s">
        <v>24</v>
      </c>
      <c r="C3" s="26" t="s">
        <v>19</v>
      </c>
      <c r="D3" s="27" t="s">
        <v>20</v>
      </c>
      <c r="E3" s="27" t="s">
        <v>21</v>
      </c>
      <c r="F3" s="27" t="s">
        <v>22</v>
      </c>
      <c r="G3" s="27" t="s">
        <v>32</v>
      </c>
      <c r="H3" s="27" t="s">
        <v>18</v>
      </c>
      <c r="I3" s="27" t="s">
        <v>33</v>
      </c>
      <c r="J3" s="27" t="s">
        <v>34</v>
      </c>
      <c r="K3" s="27" t="s">
        <v>35</v>
      </c>
      <c r="L3" s="27" t="s">
        <v>36</v>
      </c>
      <c r="M3" s="27" t="s">
        <v>37</v>
      </c>
      <c r="N3" s="27" t="s">
        <v>38</v>
      </c>
      <c r="O3" s="27" t="s">
        <v>39</v>
      </c>
      <c r="P3" s="27" t="s">
        <v>40</v>
      </c>
      <c r="Q3" s="27" t="s">
        <v>41</v>
      </c>
      <c r="R3" s="27" t="s">
        <v>42</v>
      </c>
      <c r="S3" s="27" t="s">
        <v>43</v>
      </c>
      <c r="T3" s="27" t="s">
        <v>44</v>
      </c>
      <c r="U3" s="27" t="s">
        <v>45</v>
      </c>
      <c r="V3" s="27" t="s">
        <v>46</v>
      </c>
      <c r="W3" s="27" t="s">
        <v>47</v>
      </c>
      <c r="X3" s="27" t="s">
        <v>48</v>
      </c>
      <c r="Y3" s="27" t="s">
        <v>49</v>
      </c>
      <c r="Z3" s="27" t="s">
        <v>50</v>
      </c>
      <c r="AA3" t="s">
        <v>51</v>
      </c>
      <c r="AB3" t="s">
        <v>52</v>
      </c>
      <c r="AC3" t="s">
        <v>53</v>
      </c>
      <c r="AD3" t="s">
        <v>54</v>
      </c>
      <c r="AE3" t="s">
        <v>55</v>
      </c>
      <c r="AF3" t="s">
        <v>56</v>
      </c>
      <c r="AG3" t="s">
        <v>57</v>
      </c>
      <c r="AH3" t="s">
        <v>58</v>
      </c>
      <c r="AI3" t="s">
        <v>59</v>
      </c>
      <c r="AJ3" t="s">
        <v>60</v>
      </c>
      <c r="AK3" t="s">
        <v>61</v>
      </c>
      <c r="AL3" t="s">
        <v>62</v>
      </c>
      <c r="AM3" t="s">
        <v>63</v>
      </c>
      <c r="AN3" t="s">
        <v>64</v>
      </c>
      <c r="AO3" t="s">
        <v>65</v>
      </c>
      <c r="AP3" t="s">
        <v>66</v>
      </c>
      <c r="AQ3" t="s">
        <v>67</v>
      </c>
      <c r="AR3" t="s">
        <v>68</v>
      </c>
      <c r="AS3" t="s">
        <v>69</v>
      </c>
      <c r="AT3" t="s">
        <v>70</v>
      </c>
      <c r="AU3" t="s">
        <v>71</v>
      </c>
      <c r="AV3" t="s">
        <v>72</v>
      </c>
      <c r="AW3" t="s">
        <v>73</v>
      </c>
      <c r="AX3" t="s">
        <v>74</v>
      </c>
      <c r="AY3" t="s">
        <v>75</v>
      </c>
      <c r="AZ3" t="s">
        <v>76</v>
      </c>
      <c r="BA3" t="s">
        <v>77</v>
      </c>
      <c r="BB3" t="s">
        <v>78</v>
      </c>
      <c r="BC3" t="s">
        <v>79</v>
      </c>
      <c r="BD3" t="s">
        <v>80</v>
      </c>
      <c r="BE3" t="s">
        <v>81</v>
      </c>
      <c r="BF3" t="s">
        <v>82</v>
      </c>
      <c r="BG3" t="s">
        <v>83</v>
      </c>
      <c r="BH3" t="s">
        <v>84</v>
      </c>
      <c r="BI3" t="s">
        <v>85</v>
      </c>
      <c r="BJ3" t="s">
        <v>86</v>
      </c>
      <c r="BK3" t="s">
        <v>87</v>
      </c>
      <c r="BL3" t="s">
        <v>88</v>
      </c>
      <c r="BM3" t="s">
        <v>89</v>
      </c>
      <c r="BN3" t="s">
        <v>90</v>
      </c>
      <c r="BO3" t="s">
        <v>91</v>
      </c>
      <c r="BP3" t="s">
        <v>92</v>
      </c>
      <c r="BQ3" t="s">
        <v>93</v>
      </c>
      <c r="BR3" t="s">
        <v>18</v>
      </c>
    </row>
    <row r="4" spans="1:70">
      <c r="C4" s="2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Zadanie1_12_Przycisk4_Click">
                <anchor moveWithCells="1">
                  <from>
                    <xdr:col>4</xdr:col>
                    <xdr:colOff>504825</xdr:colOff>
                    <xdr:row>0</xdr:row>
                    <xdr:rowOff>104775</xdr:rowOff>
                  </from>
                  <to>
                    <xdr:col>6</xdr:col>
                    <xdr:colOff>47625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5" name="Button 5">
              <controlPr defaultSize="0" print="0" autoFill="0" autoPict="0" macro="[0]!_xludf.clear">
                <anchor moveWithCells="1">
                  <from>
                    <xdr:col>6</xdr:col>
                    <xdr:colOff>161925</xdr:colOff>
                    <xdr:row>0</xdr:row>
                    <xdr:rowOff>104775</xdr:rowOff>
                  </from>
                  <to>
                    <xdr:col>7</xdr:col>
                    <xdr:colOff>171450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F3467-4AB2-427B-820D-00C30EB8BD27}">
  <sheetPr codeName="Arkusz7"/>
  <dimension ref="A1:J12"/>
  <sheetViews>
    <sheetView zoomScale="175" zoomScaleNormal="175" workbookViewId="0">
      <selection activeCell="F15" sqref="F15"/>
    </sheetView>
  </sheetViews>
  <sheetFormatPr defaultRowHeight="14.25"/>
  <cols>
    <col min="2" max="2" width="11.125" bestFit="1" customWidth="1"/>
    <col min="5" max="5" width="9.25" bestFit="1" customWidth="1"/>
  </cols>
  <sheetData>
    <row r="1" spans="1:10">
      <c r="A1" t="s">
        <v>23</v>
      </c>
      <c r="B1">
        <v>150</v>
      </c>
      <c r="E1">
        <f>COUNTA(F:F)-1</f>
        <v>11</v>
      </c>
      <c r="F1" t="s">
        <v>24</v>
      </c>
      <c r="G1" t="s">
        <v>25</v>
      </c>
      <c r="H1">
        <f>AVERAGE(F2:F12)</f>
        <v>1.9090909090909092</v>
      </c>
      <c r="I1">
        <v>1.5</v>
      </c>
      <c r="J1">
        <v>1.9090909090909092</v>
      </c>
    </row>
    <row r="2" spans="1:10">
      <c r="A2" t="s">
        <v>26</v>
      </c>
      <c r="B2" s="21">
        <v>12.6</v>
      </c>
      <c r="F2">
        <v>1</v>
      </c>
    </row>
    <row r="3" spans="1:10">
      <c r="A3" t="s">
        <v>27</v>
      </c>
      <c r="B3" s="21">
        <f>B1*B2</f>
        <v>1890</v>
      </c>
      <c r="C3">
        <v>1890</v>
      </c>
      <c r="D3">
        <v>1890</v>
      </c>
      <c r="F3">
        <v>2</v>
      </c>
    </row>
    <row r="4" spans="1:10">
      <c r="B4" cm="1">
        <f t="array" ref="B4">wypłata(B2,B1)</f>
        <v>1890</v>
      </c>
      <c r="F4">
        <v>3</v>
      </c>
    </row>
    <row r="5" spans="1:10">
      <c r="F5">
        <v>2</v>
      </c>
    </row>
    <row r="6" spans="1:10">
      <c r="F6">
        <v>1</v>
      </c>
    </row>
    <row r="7" spans="1:10">
      <c r="F7">
        <v>-2</v>
      </c>
    </row>
    <row r="8" spans="1:10">
      <c r="F8">
        <v>4</v>
      </c>
    </row>
    <row r="9" spans="1:10">
      <c r="F9">
        <v>1</v>
      </c>
    </row>
    <row r="10" spans="1:10">
      <c r="F10">
        <v>4</v>
      </c>
    </row>
    <row r="11" spans="1:10">
      <c r="F11">
        <v>3</v>
      </c>
    </row>
    <row r="12" spans="1:10">
      <c r="F12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rzycisk1_Click">
                <anchor moveWithCells="1">
                  <from>
                    <xdr:col>2</xdr:col>
                    <xdr:colOff>57150</xdr:colOff>
                    <xdr:row>3</xdr:row>
                    <xdr:rowOff>76200</xdr:rowOff>
                  </from>
                  <to>
                    <xdr:col>3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Przycisk3_Click">
                <anchor moveWithCells="1">
                  <from>
                    <xdr:col>3</xdr:col>
                    <xdr:colOff>38100</xdr:colOff>
                    <xdr:row>3</xdr:row>
                    <xdr:rowOff>66675</xdr:rowOff>
                  </from>
                  <to>
                    <xdr:col>4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Przycisk4_Click">
                <anchor moveWithCells="1">
                  <from>
                    <xdr:col>8</xdr:col>
                    <xdr:colOff>47625</xdr:colOff>
                    <xdr:row>1</xdr:row>
                    <xdr:rowOff>76200</xdr:rowOff>
                  </from>
                  <to>
                    <xdr:col>9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Przycisk5_Click">
                <anchor moveWithCells="1">
                  <from>
                    <xdr:col>9</xdr:col>
                    <xdr:colOff>47625</xdr:colOff>
                    <xdr:row>1</xdr:row>
                    <xdr:rowOff>85725</xdr:rowOff>
                  </from>
                  <to>
                    <xdr:col>10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AA8BDC297D8B34DA33557CA123CF3AE" ma:contentTypeVersion="5" ma:contentTypeDescription="Utwórz nowy dokument." ma:contentTypeScope="" ma:versionID="ba7cd62f881a1750201ab321b3001c10">
  <xsd:schema xmlns:xsd="http://www.w3.org/2001/XMLSchema" xmlns:xs="http://www.w3.org/2001/XMLSchema" xmlns:p="http://schemas.microsoft.com/office/2006/metadata/properties" xmlns:ns3="5a476dd0-ba3d-48d6-b8a0-5776c33e5439" targetNamespace="http://schemas.microsoft.com/office/2006/metadata/properties" ma:root="true" ma:fieldsID="0931b027d1573faa9ee861670726064a" ns3:_="">
    <xsd:import namespace="5a476dd0-ba3d-48d6-b8a0-5776c33e54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476dd0-ba3d-48d6-b8a0-5776c33e54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a476dd0-ba3d-48d6-b8a0-5776c33e543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DD709C-67F4-45AE-AC1C-1C6FA6240C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476dd0-ba3d-48d6-b8a0-5776c33e54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6425A8-58C5-4147-A698-A6BF2B0D2C39}">
  <ds:schemaRefs>
    <ds:schemaRef ds:uri="http://schemas.microsoft.com/office/2006/metadata/properties"/>
    <ds:schemaRef ds:uri="http://schemas.microsoft.com/office/infopath/2007/PartnerControls"/>
    <ds:schemaRef ds:uri="5a476dd0-ba3d-48d6-b8a0-5776c33e5439"/>
  </ds:schemaRefs>
</ds:datastoreItem>
</file>

<file path=customXml/itemProps3.xml><?xml version="1.0" encoding="utf-8"?>
<ds:datastoreItem xmlns:ds="http://schemas.openxmlformats.org/officeDocument/2006/customXml" ds:itemID="{7836DDFC-8A4D-413A-8E65-08662786BCD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Arkusz0</vt:lpstr>
      <vt:lpstr>Arkusz1</vt:lpstr>
      <vt:lpstr>Arkusz2</vt:lpstr>
      <vt:lpstr>Arkusz3</vt:lpstr>
      <vt:lpstr>Arkusz4</vt:lpstr>
      <vt:lpstr>Arkusz5</vt:lpstr>
      <vt:lpstr>Metoda Newtona</vt:lpstr>
      <vt:lpstr>Zadanie1_1</vt:lpstr>
      <vt:lpstr>Arkusz6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Pankowski Andrzej</dc:creator>
  <cp:keywords/>
  <dc:description/>
  <cp:lastModifiedBy>Unhuman JR</cp:lastModifiedBy>
  <cp:revision/>
  <dcterms:created xsi:type="dcterms:W3CDTF">2025-02-24T22:01:42Z</dcterms:created>
  <dcterms:modified xsi:type="dcterms:W3CDTF">2025-06-09T13:06:50Z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0x0101000AA8BDC297D8B34DA33557CA123CF3AE</vt:lpwstr>
  </property>
</Properties>
</file>