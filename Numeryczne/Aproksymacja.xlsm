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3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4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2" codeName="{4D1C537B-E38A-612A-F078-A93A15B4B7F4}"/>
  <workbookPr codeName="Ten_skoroszyt"/>
  <mc:AlternateContent xmlns:mc="http://schemas.openxmlformats.org/markup-compatibility/2006">
    <mc:Choice Requires="x15">
      <x15ac:absPath xmlns:x15ac="http://schemas.microsoft.com/office/spreadsheetml/2010/11/ac" url="C:\Users\unhuman\Desktop\"/>
    </mc:Choice>
  </mc:AlternateContent>
  <xr:revisionPtr revIDLastSave="0" documentId="13_ncr:1_{85B672AF-CEC9-413C-ACDA-66FFDF1A4735}" xr6:coauthVersionLast="47" xr6:coauthVersionMax="47" xr10:uidLastSave="{00000000-0000-0000-0000-000000000000}"/>
  <bookViews>
    <workbookView xWindow="-120" yWindow="-120" windowWidth="29040" windowHeight="15720" xr2:uid="{E7A4ED15-03A9-4B2F-BDDE-DF95BB93EEB3}"/>
  </bookViews>
  <sheets>
    <sheet name="zadanie" sheetId="4" r:id="rId1"/>
    <sheet name="Arkusz1" sheetId="1" r:id="rId2"/>
    <sheet name="Arkusz2" sheetId="2" r:id="rId3"/>
    <sheet name="Arkusz3" sheetId="3" r:id="rId4"/>
  </sheets>
  <definedNames>
    <definedName name="solver_adj" localSheetId="2" hidden="1">Arkusz2!$G$1,Arkusz2!$I$1</definedName>
    <definedName name="solver_adj" localSheetId="3" hidden="1">Arkusz3!$G$1,Arkusz3!$I$1</definedName>
    <definedName name="solver_adj" localSheetId="0" hidden="1">zadanie!$G$4,zadanie!$I$4</definedName>
    <definedName name="solver_cvg" localSheetId="2" hidden="1">0.0001</definedName>
    <definedName name="solver_cvg" localSheetId="3" hidden="1">0.0001</definedName>
    <definedName name="solver_cvg" localSheetId="0" hidden="1">0.0001</definedName>
    <definedName name="solver_drv" localSheetId="2" hidden="1">1</definedName>
    <definedName name="solver_drv" localSheetId="3" hidden="1">1</definedName>
    <definedName name="solver_drv" localSheetId="0" hidden="1">1</definedName>
    <definedName name="solver_eng" localSheetId="2" hidden="1">1</definedName>
    <definedName name="solver_eng" localSheetId="3" hidden="1">1</definedName>
    <definedName name="solver_eng" localSheetId="0" hidden="1">1</definedName>
    <definedName name="solver_est" localSheetId="2" hidden="1">1</definedName>
    <definedName name="solver_est" localSheetId="3" hidden="1">1</definedName>
    <definedName name="solver_est" localSheetId="0" hidden="1">1</definedName>
    <definedName name="solver_itr" localSheetId="2" hidden="1">2147483647</definedName>
    <definedName name="solver_itr" localSheetId="3" hidden="1">2147483647</definedName>
    <definedName name="solver_itr" localSheetId="0" hidden="1">2147483647</definedName>
    <definedName name="solver_mip" localSheetId="2" hidden="1">2147483647</definedName>
    <definedName name="solver_mip" localSheetId="3" hidden="1">2147483647</definedName>
    <definedName name="solver_mip" localSheetId="0" hidden="1">2147483647</definedName>
    <definedName name="solver_mni" localSheetId="2" hidden="1">30</definedName>
    <definedName name="solver_mni" localSheetId="3" hidden="1">30</definedName>
    <definedName name="solver_mni" localSheetId="0" hidden="1">30</definedName>
    <definedName name="solver_mrt" localSheetId="2" hidden="1">0.075</definedName>
    <definedName name="solver_mrt" localSheetId="3" hidden="1">0.075</definedName>
    <definedName name="solver_mrt" localSheetId="0" hidden="1">0.075</definedName>
    <definedName name="solver_msl" localSheetId="2" hidden="1">2</definedName>
    <definedName name="solver_msl" localSheetId="3" hidden="1">2</definedName>
    <definedName name="solver_msl" localSheetId="0" hidden="1">2</definedName>
    <definedName name="solver_neg" localSheetId="2" hidden="1">1</definedName>
    <definedName name="solver_neg" localSheetId="3" hidden="1">1</definedName>
    <definedName name="solver_neg" localSheetId="0" hidden="1">1</definedName>
    <definedName name="solver_nod" localSheetId="2" hidden="1">2147483647</definedName>
    <definedName name="solver_nod" localSheetId="3" hidden="1">2147483647</definedName>
    <definedName name="solver_nod" localSheetId="0" hidden="1">2147483647</definedName>
    <definedName name="solver_num" localSheetId="2" hidden="1">0</definedName>
    <definedName name="solver_num" localSheetId="3" hidden="1">0</definedName>
    <definedName name="solver_num" localSheetId="0" hidden="1">0</definedName>
    <definedName name="solver_nwt" localSheetId="2" hidden="1">1</definedName>
    <definedName name="solver_nwt" localSheetId="3" hidden="1">1</definedName>
    <definedName name="solver_nwt" localSheetId="0" hidden="1">1</definedName>
    <definedName name="solver_opt" localSheetId="2" hidden="1">Arkusz2!$E$9</definedName>
    <definedName name="solver_opt" localSheetId="3" hidden="1">Arkusz3!$E$41</definedName>
    <definedName name="solver_opt" localSheetId="0" hidden="1">zadanie!$F$42</definedName>
    <definedName name="solver_pre" localSheetId="2" hidden="1">0.000001</definedName>
    <definedName name="solver_pre" localSheetId="3" hidden="1">0.000001</definedName>
    <definedName name="solver_pre" localSheetId="0" hidden="1">0.000001</definedName>
    <definedName name="solver_rbv" localSheetId="2" hidden="1">1</definedName>
    <definedName name="solver_rbv" localSheetId="3" hidden="1">1</definedName>
    <definedName name="solver_rbv" localSheetId="0" hidden="1">1</definedName>
    <definedName name="solver_rlx" localSheetId="2" hidden="1">2</definedName>
    <definedName name="solver_rlx" localSheetId="3" hidden="1">2</definedName>
    <definedName name="solver_rlx" localSheetId="0" hidden="1">2</definedName>
    <definedName name="solver_rsd" localSheetId="2" hidden="1">0</definedName>
    <definedName name="solver_rsd" localSheetId="3" hidden="1">0</definedName>
    <definedName name="solver_rsd" localSheetId="0" hidden="1">0</definedName>
    <definedName name="solver_scl" localSheetId="2" hidden="1">1</definedName>
    <definedName name="solver_scl" localSheetId="3" hidden="1">1</definedName>
    <definedName name="solver_scl" localSheetId="0" hidden="1">1</definedName>
    <definedName name="solver_sho" localSheetId="2" hidden="1">2</definedName>
    <definedName name="solver_sho" localSheetId="3" hidden="1">2</definedName>
    <definedName name="solver_sho" localSheetId="0" hidden="1">2</definedName>
    <definedName name="solver_ssz" localSheetId="2" hidden="1">100</definedName>
    <definedName name="solver_ssz" localSheetId="3" hidden="1">100</definedName>
    <definedName name="solver_ssz" localSheetId="0" hidden="1">100</definedName>
    <definedName name="solver_tim" localSheetId="2" hidden="1">2147483647</definedName>
    <definedName name="solver_tim" localSheetId="3" hidden="1">2147483647</definedName>
    <definedName name="solver_tim" localSheetId="0" hidden="1">2147483647</definedName>
    <definedName name="solver_tol" localSheetId="2" hidden="1">0.01</definedName>
    <definedName name="solver_tol" localSheetId="3" hidden="1">0.01</definedName>
    <definedName name="solver_tol" localSheetId="0" hidden="1">0.01</definedName>
    <definedName name="solver_typ" localSheetId="2" hidden="1">2</definedName>
    <definedName name="solver_typ" localSheetId="3" hidden="1">2</definedName>
    <definedName name="solver_typ" localSheetId="0" hidden="1">2</definedName>
    <definedName name="solver_val" localSheetId="2" hidden="1">0</definedName>
    <definedName name="solver_val" localSheetId="3" hidden="1">0</definedName>
    <definedName name="solver_val" localSheetId="0" hidden="1">0</definedName>
    <definedName name="solver_ver" localSheetId="2" hidden="1">3</definedName>
    <definedName name="solver_ver" localSheetId="3" hidden="1">3</definedName>
    <definedName name="solver_ver" localSheetId="0" hidden="1">3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Z1" i="4" l="1" a="1"/>
  <c r="AA1" i="4" s="1"/>
  <c r="Z1" i="4" l="1"/>
  <c r="D2" i="3"/>
  <c r="G2" i="2" a="1"/>
  <c r="G2" i="2" s="1"/>
  <c r="G1" i="1" a="1"/>
  <c r="G1" i="1" s="1"/>
  <c r="E2" i="3"/>
  <c r="G2" i="3" a="1"/>
  <c r="G2" i="3" s="1"/>
  <c r="D9" i="3"/>
  <c r="E9" i="3" s="1"/>
  <c r="D10" i="3"/>
  <c r="E10" i="3" s="1"/>
  <c r="D11" i="3"/>
  <c r="E11" i="3" s="1"/>
  <c r="D12" i="3"/>
  <c r="E12" i="3" s="1"/>
  <c r="D13" i="3"/>
  <c r="E13" i="3" s="1"/>
  <c r="D14" i="3"/>
  <c r="E14" i="3" s="1"/>
  <c r="D15" i="3"/>
  <c r="E15" i="3" s="1"/>
  <c r="D16" i="3"/>
  <c r="E16" i="3" s="1"/>
  <c r="D17" i="3"/>
  <c r="E17" i="3" s="1"/>
  <c r="D18" i="3"/>
  <c r="E18" i="3" s="1"/>
  <c r="D19" i="3"/>
  <c r="E19" i="3" s="1"/>
  <c r="D20" i="3"/>
  <c r="E20" i="3" s="1"/>
  <c r="D21" i="3"/>
  <c r="E21" i="3" s="1"/>
  <c r="D22" i="3"/>
  <c r="E22" i="3" s="1"/>
  <c r="D23" i="3"/>
  <c r="E23" i="3" s="1"/>
  <c r="D24" i="3"/>
  <c r="E24" i="3" s="1"/>
  <c r="D25" i="3"/>
  <c r="E25" i="3" s="1"/>
  <c r="D26" i="3"/>
  <c r="E26" i="3" s="1"/>
  <c r="D27" i="3"/>
  <c r="E27" i="3" s="1"/>
  <c r="D28" i="3"/>
  <c r="E28" i="3" s="1"/>
  <c r="D29" i="3"/>
  <c r="E29" i="3" s="1"/>
  <c r="D30" i="3"/>
  <c r="E30" i="3" s="1"/>
  <c r="D31" i="3"/>
  <c r="E31" i="3" s="1"/>
  <c r="D32" i="3"/>
  <c r="E32" i="3" s="1"/>
  <c r="D33" i="3"/>
  <c r="E33" i="3" s="1"/>
  <c r="D34" i="3"/>
  <c r="E34" i="3" s="1"/>
  <c r="D35" i="3"/>
  <c r="E35" i="3" s="1"/>
  <c r="D36" i="3"/>
  <c r="E36" i="3" s="1"/>
  <c r="D37" i="3"/>
  <c r="E37" i="3" s="1"/>
  <c r="D38" i="3"/>
  <c r="E38" i="3" s="1"/>
  <c r="D39" i="3"/>
  <c r="E39" i="3" s="1"/>
  <c r="D40" i="3"/>
  <c r="E40" i="3" s="1"/>
  <c r="D8" i="3"/>
  <c r="E8" i="3" s="1"/>
  <c r="D7" i="3"/>
  <c r="E7" i="3" s="1"/>
  <c r="D6" i="3"/>
  <c r="E6" i="3" s="1"/>
  <c r="D5" i="3"/>
  <c r="E5" i="3" s="1"/>
  <c r="D4" i="3"/>
  <c r="E4" i="3" s="1"/>
  <c r="D3" i="3"/>
  <c r="E3" i="3" s="1"/>
  <c r="E42" i="3" l="1"/>
  <c r="E41" i="3"/>
  <c r="G2" i="1" l="1" a="1"/>
  <c r="G2" i="1" s="1"/>
  <c r="I1" i="1" a="1"/>
  <c r="I1" i="1" s="1"/>
  <c r="D8" i="2" l="1"/>
  <c r="E8" i="2" s="1"/>
  <c r="D5" i="2"/>
  <c r="E5" i="2" s="1"/>
  <c r="D4" i="2"/>
  <c r="E4" i="2" s="1"/>
  <c r="D7" i="2"/>
  <c r="E7" i="2" s="1"/>
  <c r="D6" i="2"/>
  <c r="E6" i="2" s="1"/>
  <c r="D3" i="2"/>
  <c r="E3" i="2" s="1"/>
  <c r="D2" i="2"/>
  <c r="E2" i="2" s="1"/>
  <c r="D7" i="1"/>
  <c r="D3" i="1"/>
  <c r="D8" i="1"/>
  <c r="D2" i="1"/>
  <c r="D6" i="1"/>
  <c r="D5" i="1"/>
  <c r="D4" i="1"/>
  <c r="E9" i="2" l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<sst xmlns="http://schemas.openxmlformats.org/spreadsheetml/2006/main" count="32" uniqueCount="13">
  <si>
    <t>i</t>
  </si>
  <si>
    <t>x</t>
  </si>
  <si>
    <t>y</t>
  </si>
  <si>
    <t>Y</t>
  </si>
  <si>
    <r>
      <t>a</t>
    </r>
    <r>
      <rPr>
        <vertAlign val="subscript"/>
        <sz val="16"/>
        <color theme="1"/>
        <rFont val="Aptos Narrow"/>
        <family val="2"/>
        <scheme val="minor"/>
      </rPr>
      <t>1</t>
    </r>
    <r>
      <rPr>
        <sz val="16"/>
        <color theme="1"/>
        <rFont val="Aptos Narrow"/>
        <family val="2"/>
        <scheme val="minor"/>
      </rPr>
      <t>=</t>
    </r>
  </si>
  <si>
    <r>
      <t>a</t>
    </r>
    <r>
      <rPr>
        <vertAlign val="subscript"/>
        <sz val="16"/>
        <color theme="1"/>
        <rFont val="Aptos Narrow"/>
        <family val="2"/>
        <scheme val="minor"/>
      </rPr>
      <t>0</t>
    </r>
    <r>
      <rPr>
        <sz val="16"/>
        <color theme="1"/>
        <rFont val="Aptos Narrow"/>
        <family val="2"/>
        <scheme val="minor"/>
      </rPr>
      <t>=</t>
    </r>
  </si>
  <si>
    <r>
      <t>Y = a</t>
    </r>
    <r>
      <rPr>
        <vertAlign val="subscript"/>
        <sz val="16"/>
        <color theme="1"/>
        <rFont val="Aptos Narrow"/>
        <family val="2"/>
        <scheme val="minor"/>
      </rPr>
      <t xml:space="preserve">1 </t>
    </r>
    <r>
      <rPr>
        <sz val="16"/>
        <color theme="1"/>
        <rFont val="Aptos Narrow"/>
        <family val="2"/>
        <scheme val="minor"/>
      </rPr>
      <t>x + a</t>
    </r>
    <r>
      <rPr>
        <vertAlign val="subscript"/>
        <sz val="16"/>
        <color theme="1"/>
        <rFont val="Aptos Narrow"/>
        <family val="2"/>
        <scheme val="minor"/>
      </rPr>
      <t>0</t>
    </r>
  </si>
  <si>
    <r>
      <t>d^</t>
    </r>
    <r>
      <rPr>
        <sz val="11"/>
        <color theme="1"/>
        <rFont val="Aptos Narrow"/>
        <family val="2"/>
        <scheme val="minor"/>
      </rPr>
      <t>2</t>
    </r>
  </si>
  <si>
    <t>max</t>
  </si>
  <si>
    <t>n</t>
  </si>
  <si>
    <t>d^2</t>
  </si>
  <si>
    <t>a1=</t>
  </si>
  <si>
    <t>a0=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</si>
</sst>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00"/>
  </numFmts>
  <fonts count="9">
    <font>
      <sz val="11"/>
      <color theme="1"/>
      <name val="Aptos Narrow"/>
      <family val="2"/>
      <charset val="238"/>
      <scheme val="minor"/>
    </font>
    <font>
      <i/>
      <sz val="11"/>
      <color theme="1"/>
      <name val="Aptos Narrow"/>
      <family val="2"/>
      <charset val="238"/>
      <scheme val="minor"/>
    </font>
    <font>
      <sz val="16"/>
      <color theme="1"/>
      <name val="Aptos Narrow"/>
      <family val="2"/>
      <scheme val="minor"/>
    </font>
    <font>
      <vertAlign val="subscript"/>
      <sz val="16"/>
      <color theme="1"/>
      <name val="Aptos Narrow"/>
      <family val="2"/>
      <scheme val="minor"/>
    </font>
    <font>
      <sz val="16"/>
      <color theme="1"/>
      <name val="Aptos Narrow"/>
      <family val="2"/>
      <charset val="238"/>
      <scheme val="minor"/>
    </font>
    <font>
      <sz val="11"/>
      <color theme="1"/>
      <name val="Aptos Narrow"/>
      <family val="2"/>
      <scheme val="minor"/>
    </font>
    <font>
      <b/>
      <sz val="11"/>
      <color theme="1"/>
      <name val="Aptos Narrow"/>
      <charset val="238"/>
      <scheme val="minor"/>
    </font>
    <font>
      <sz val="11"/>
      <color rgb="FF000000"/>
      <name val="Aptos Narrow"/>
    </font>
    <font>
      <b/>
      <sz val="11"/>
      <color rgb="FF000000"/>
      <name val="Aptos Narrow"/>
    </font>
  </fonts>
  <fills count="6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7" tint="0.79998168889431442"/>
        <bgColor indexed="64"/>
      </patternFill>
    </fill>
  </fills>
  <borders count="2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12">
    <xf numFmtId="0" fontId="0" fillId="0" borderId="0" xfId="0"/>
    <xf numFmtId="0" fontId="1" fillId="0" borderId="0" xfId="0" applyFont="1" applyAlignment="1">
      <alignment horizontal="centerContinuous"/>
    </xf>
    <xf numFmtId="0" fontId="1" fillId="0" borderId="0" xfId="0" applyFont="1" applyAlignment="1">
      <alignment horizontal="center"/>
    </xf>
    <xf numFmtId="0" fontId="2" fillId="0" borderId="0" xfId="0" applyFont="1"/>
    <xf numFmtId="0" fontId="2" fillId="0" borderId="0" xfId="0" applyFont="1" applyAlignment="1">
      <alignment horizontal="right"/>
    </xf>
    <xf numFmtId="0" fontId="2" fillId="2" borderId="0" xfId="0" applyFont="1" applyFill="1"/>
    <xf numFmtId="164" fontId="4" fillId="3" borderId="0" xfId="0" applyNumberFormat="1" applyFont="1" applyFill="1"/>
    <xf numFmtId="164" fontId="2" fillId="2" borderId="0" xfId="0" applyNumberFormat="1" applyFont="1" applyFill="1"/>
    <xf numFmtId="0" fontId="0" fillId="4" borderId="0" xfId="0" applyFill="1"/>
    <xf numFmtId="0" fontId="5" fillId="0" borderId="0" xfId="0" applyFont="1" applyAlignment="1">
      <alignment horizontal="right"/>
    </xf>
    <xf numFmtId="0" fontId="6" fillId="0" borderId="0" xfId="0" applyFont="1"/>
    <xf numFmtId="0" fontId="6" fillId="5" borderId="1" xfId="0" applyFont="1" applyFill="1" applyBorder="1"/>
  </cellXfs>
  <cellStyles count="1">
    <cellStyle name="Normalny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12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11" Type="http://schemas.openxmlformats.org/officeDocument/2006/relationships/customXml" Target="../customXml/item2.xml"/><Relationship Id="rId5" Type="http://schemas.openxmlformats.org/officeDocument/2006/relationships/theme" Target="theme/theme1.xml"/><Relationship Id="rId10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l-P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Arkusz1!$C$1</c:f>
              <c:strCache>
                <c:ptCount val="1"/>
                <c:pt idx="0">
                  <c:v>y</c:v>
                </c:pt>
              </c:strCache>
            </c:strRef>
          </c:tx>
          <c:spPr>
            <a:ln w="28575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tx1"/>
              </a:solidFill>
              <a:ln w="15875">
                <a:noFill/>
              </a:ln>
              <a:effectLst/>
            </c:spPr>
          </c:marker>
          <c:cat>
            <c:numRef>
              <c:f>Arkusz1!$B$2:$B$8</c:f>
              <c:numCache>
                <c:formatCode>General</c:formatCode>
                <c:ptCount val="7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</c:numCache>
            </c:numRef>
          </c:cat>
          <c:val>
            <c:numRef>
              <c:f>Arkusz1!$C$2:$C$8</c:f>
              <c:numCache>
                <c:formatCode>General</c:formatCode>
                <c:ptCount val="7"/>
                <c:pt idx="0">
                  <c:v>4</c:v>
                </c:pt>
                <c:pt idx="1">
                  <c:v>2</c:v>
                </c:pt>
                <c:pt idx="2">
                  <c:v>6</c:v>
                </c:pt>
                <c:pt idx="3">
                  <c:v>2</c:v>
                </c:pt>
                <c:pt idx="4">
                  <c:v>5</c:v>
                </c:pt>
                <c:pt idx="5">
                  <c:v>5</c:v>
                </c:pt>
                <c:pt idx="6">
                  <c:v>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4070-4F9E-8EC7-0DB1EEC9DEC9}"/>
            </c:ext>
          </c:extLst>
        </c:ser>
        <c:ser>
          <c:idx val="0"/>
          <c:order val="1"/>
          <c:tx>
            <c:v>Y</c:v>
          </c:tx>
          <c:spPr>
            <a:ln w="2540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val>
            <c:numRef>
              <c:f>Arkusz1!$D$2:$D$8</c:f>
              <c:numCache>
                <c:formatCode>General</c:formatCode>
                <c:ptCount val="7"/>
                <c:pt idx="0">
                  <c:v>3.464285714285714</c:v>
                </c:pt>
                <c:pt idx="1">
                  <c:v>3.6428571428571428</c:v>
                </c:pt>
                <c:pt idx="2">
                  <c:v>3.8214285714285712</c:v>
                </c:pt>
                <c:pt idx="3">
                  <c:v>4</c:v>
                </c:pt>
                <c:pt idx="4">
                  <c:v>4.1785714285714288</c:v>
                </c:pt>
                <c:pt idx="5">
                  <c:v>4.3571428571428568</c:v>
                </c:pt>
                <c:pt idx="6">
                  <c:v>4.5357142857142856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105-4102-B1CB-8CB7737460D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93762720"/>
        <c:axId val="693748800"/>
      </c:lineChart>
      <c:catAx>
        <c:axId val="69376272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l-PL"/>
          </a:p>
        </c:txPr>
        <c:crossAx val="693748800"/>
        <c:crosses val="autoZero"/>
        <c:auto val="1"/>
        <c:lblAlgn val="ctr"/>
        <c:lblOffset val="100"/>
        <c:noMultiLvlLbl val="0"/>
      </c:catAx>
      <c:valAx>
        <c:axId val="6937488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l-PL"/>
          </a:p>
        </c:txPr>
        <c:crossAx val="693762720"/>
        <c:crosses val="autoZero"/>
        <c:crossBetween val="between"/>
      </c:valAx>
      <c:spPr>
        <a:noFill/>
        <a:ln w="25400"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l-PL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pl-PL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l-P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Arkusz2!$C$1</c:f>
              <c:strCache>
                <c:ptCount val="1"/>
                <c:pt idx="0">
                  <c:v>y</c:v>
                </c:pt>
              </c:strCache>
            </c:strRef>
          </c:tx>
          <c:spPr>
            <a:ln w="28575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tx1"/>
              </a:solidFill>
              <a:ln w="15875">
                <a:noFill/>
              </a:ln>
              <a:effectLst/>
            </c:spPr>
          </c:marker>
          <c:cat>
            <c:numRef>
              <c:f>Arkusz2!$B$2:$B$8</c:f>
              <c:numCache>
                <c:formatCode>General</c:formatCode>
                <c:ptCount val="7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</c:numCache>
            </c:numRef>
          </c:cat>
          <c:val>
            <c:numRef>
              <c:f>Arkusz2!$C$2:$C$8</c:f>
              <c:numCache>
                <c:formatCode>General</c:formatCode>
                <c:ptCount val="7"/>
                <c:pt idx="0">
                  <c:v>4</c:v>
                </c:pt>
                <c:pt idx="1">
                  <c:v>2</c:v>
                </c:pt>
                <c:pt idx="2">
                  <c:v>6</c:v>
                </c:pt>
                <c:pt idx="3">
                  <c:v>2</c:v>
                </c:pt>
                <c:pt idx="4">
                  <c:v>5</c:v>
                </c:pt>
                <c:pt idx="5">
                  <c:v>5</c:v>
                </c:pt>
                <c:pt idx="6">
                  <c:v>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C8A-4C3C-89A3-1C31AA031411}"/>
            </c:ext>
          </c:extLst>
        </c:ser>
        <c:ser>
          <c:idx val="0"/>
          <c:order val="1"/>
          <c:tx>
            <c:v>Y</c:v>
          </c:tx>
          <c:spPr>
            <a:ln w="2540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val>
            <c:numRef>
              <c:f>Arkusz2!$D$2:$D$8</c:f>
              <c:numCache>
                <c:formatCode>General</c:formatCode>
                <c:ptCount val="7"/>
                <c:pt idx="0">
                  <c:v>3.4642838554837696</c:v>
                </c:pt>
                <c:pt idx="1">
                  <c:v>3.6428551237463846</c:v>
                </c:pt>
                <c:pt idx="2">
                  <c:v>3.8214263920090001</c:v>
                </c:pt>
                <c:pt idx="3">
                  <c:v>3.9999976602716156</c:v>
                </c:pt>
                <c:pt idx="4">
                  <c:v>4.1785689285342311</c:v>
                </c:pt>
                <c:pt idx="5">
                  <c:v>4.3571401967968466</c:v>
                </c:pt>
                <c:pt idx="6">
                  <c:v>4.5357114650594621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C8A-4C3C-89A3-1C31AA0314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93762720"/>
        <c:axId val="693748800"/>
      </c:lineChart>
      <c:catAx>
        <c:axId val="69376272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l-PL"/>
          </a:p>
        </c:txPr>
        <c:crossAx val="693748800"/>
        <c:crosses val="autoZero"/>
        <c:auto val="1"/>
        <c:lblAlgn val="ctr"/>
        <c:lblOffset val="100"/>
        <c:noMultiLvlLbl val="0"/>
      </c:catAx>
      <c:valAx>
        <c:axId val="6937488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l-PL"/>
          </a:p>
        </c:txPr>
        <c:crossAx val="693762720"/>
        <c:crosses val="autoZero"/>
        <c:crossBetween val="between"/>
      </c:valAx>
      <c:spPr>
        <a:noFill/>
        <a:ln w="25400"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l-PL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pl-PL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l-P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4.1307417804569084E-2"/>
          <c:y val="6.6958643311049101E-2"/>
          <c:w val="0.93456013011690131"/>
          <c:h val="0.77647133303583704"/>
        </c:manualLayout>
      </c:layout>
      <c:lineChart>
        <c:grouping val="standard"/>
        <c:varyColors val="0"/>
        <c:ser>
          <c:idx val="1"/>
          <c:order val="0"/>
          <c:tx>
            <c:strRef>
              <c:f>Arkusz3!$C$1</c:f>
              <c:strCache>
                <c:ptCount val="1"/>
                <c:pt idx="0">
                  <c:v>y</c:v>
                </c:pt>
              </c:strCache>
            </c:strRef>
          </c:tx>
          <c:spPr>
            <a:ln w="28575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tx1"/>
              </a:solidFill>
              <a:ln w="15875">
                <a:noFill/>
              </a:ln>
              <a:effectLst/>
            </c:spPr>
          </c:marker>
          <c:cat>
            <c:numRef>
              <c:f>Arkusz3!$B$2:$B$8</c:f>
              <c:numCache>
                <c:formatCode>General</c:formatCode>
                <c:ptCount val="7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</c:numCache>
            </c:numRef>
          </c:cat>
          <c:val>
            <c:numRef>
              <c:f>Arkusz3!$C$2:$C$40</c:f>
              <c:numCache>
                <c:formatCode>General</c:formatCode>
                <c:ptCount val="39"/>
                <c:pt idx="0">
                  <c:v>4</c:v>
                </c:pt>
                <c:pt idx="1">
                  <c:v>2</c:v>
                </c:pt>
                <c:pt idx="2">
                  <c:v>6</c:v>
                </c:pt>
                <c:pt idx="3">
                  <c:v>2</c:v>
                </c:pt>
                <c:pt idx="4">
                  <c:v>5</c:v>
                </c:pt>
                <c:pt idx="5">
                  <c:v>5</c:v>
                </c:pt>
                <c:pt idx="6">
                  <c:v>4</c:v>
                </c:pt>
                <c:pt idx="7">
                  <c:v>3</c:v>
                </c:pt>
                <c:pt idx="8">
                  <c:v>7</c:v>
                </c:pt>
                <c:pt idx="9">
                  <c:v>6</c:v>
                </c:pt>
                <c:pt idx="10">
                  <c:v>4</c:v>
                </c:pt>
                <c:pt idx="11">
                  <c:v>5</c:v>
                </c:pt>
                <c:pt idx="12">
                  <c:v>0</c:v>
                </c:pt>
                <c:pt idx="13">
                  <c:v>9</c:v>
                </c:pt>
                <c:pt idx="14">
                  <c:v>7</c:v>
                </c:pt>
                <c:pt idx="15">
                  <c:v>2</c:v>
                </c:pt>
                <c:pt idx="16">
                  <c:v>5</c:v>
                </c:pt>
                <c:pt idx="17">
                  <c:v>3</c:v>
                </c:pt>
                <c:pt idx="18">
                  <c:v>3</c:v>
                </c:pt>
                <c:pt idx="19">
                  <c:v>2</c:v>
                </c:pt>
                <c:pt idx="20">
                  <c:v>3</c:v>
                </c:pt>
                <c:pt idx="21">
                  <c:v>6</c:v>
                </c:pt>
                <c:pt idx="22">
                  <c:v>3</c:v>
                </c:pt>
                <c:pt idx="23">
                  <c:v>0</c:v>
                </c:pt>
                <c:pt idx="24">
                  <c:v>4</c:v>
                </c:pt>
                <c:pt idx="25">
                  <c:v>3</c:v>
                </c:pt>
                <c:pt idx="26">
                  <c:v>5</c:v>
                </c:pt>
                <c:pt idx="27">
                  <c:v>6</c:v>
                </c:pt>
                <c:pt idx="28">
                  <c:v>3</c:v>
                </c:pt>
                <c:pt idx="29">
                  <c:v>6</c:v>
                </c:pt>
                <c:pt idx="30">
                  <c:v>8</c:v>
                </c:pt>
                <c:pt idx="31">
                  <c:v>6</c:v>
                </c:pt>
                <c:pt idx="32">
                  <c:v>12</c:v>
                </c:pt>
                <c:pt idx="33">
                  <c:v>13</c:v>
                </c:pt>
                <c:pt idx="34">
                  <c:v>15</c:v>
                </c:pt>
                <c:pt idx="35">
                  <c:v>7</c:v>
                </c:pt>
                <c:pt idx="36">
                  <c:v>4</c:v>
                </c:pt>
                <c:pt idx="37">
                  <c:v>2</c:v>
                </c:pt>
                <c:pt idx="38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DB1-4EAD-B94F-0E060A5FFA08}"/>
            </c:ext>
          </c:extLst>
        </c:ser>
        <c:ser>
          <c:idx val="0"/>
          <c:order val="1"/>
          <c:tx>
            <c:v>Y</c:v>
          </c:tx>
          <c:spPr>
            <a:ln w="2540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val>
            <c:numRef>
              <c:f>Arkusz3!$D$2:$D$40</c:f>
              <c:numCache>
                <c:formatCode>General</c:formatCode>
                <c:ptCount val="39"/>
                <c:pt idx="0">
                  <c:v>3.4948819964705993</c:v>
                </c:pt>
                <c:pt idx="1">
                  <c:v>3.56735122601583</c:v>
                </c:pt>
                <c:pt idx="2">
                  <c:v>3.6398204555610607</c:v>
                </c:pt>
                <c:pt idx="3">
                  <c:v>3.7122896851062914</c:v>
                </c:pt>
                <c:pt idx="4">
                  <c:v>3.7847589146515221</c:v>
                </c:pt>
                <c:pt idx="5">
                  <c:v>3.8572281441967529</c:v>
                </c:pt>
                <c:pt idx="6">
                  <c:v>3.9296973737419836</c:v>
                </c:pt>
                <c:pt idx="7">
                  <c:v>4.0021666032872147</c:v>
                </c:pt>
                <c:pt idx="8">
                  <c:v>4.0746358328324455</c:v>
                </c:pt>
                <c:pt idx="9">
                  <c:v>4.1471050623776762</c:v>
                </c:pt>
                <c:pt idx="10">
                  <c:v>4.2195742919229069</c:v>
                </c:pt>
                <c:pt idx="11">
                  <c:v>4.2920435214681376</c:v>
                </c:pt>
                <c:pt idx="12">
                  <c:v>4.3645127510133683</c:v>
                </c:pt>
                <c:pt idx="13">
                  <c:v>4.436981980558599</c:v>
                </c:pt>
                <c:pt idx="14">
                  <c:v>4.5094512101038298</c:v>
                </c:pt>
                <c:pt idx="15">
                  <c:v>4.5819204396490605</c:v>
                </c:pt>
                <c:pt idx="16">
                  <c:v>4.6543896691942912</c:v>
                </c:pt>
                <c:pt idx="17">
                  <c:v>4.7268588987395219</c:v>
                </c:pt>
                <c:pt idx="18">
                  <c:v>4.7993281282847526</c:v>
                </c:pt>
                <c:pt idx="19">
                  <c:v>4.8717973578299834</c:v>
                </c:pt>
                <c:pt idx="20">
                  <c:v>4.9442665873752141</c:v>
                </c:pt>
                <c:pt idx="21">
                  <c:v>5.0167358169204448</c:v>
                </c:pt>
                <c:pt idx="22">
                  <c:v>5.0892050464656755</c:v>
                </c:pt>
                <c:pt idx="23">
                  <c:v>5.1616742760109062</c:v>
                </c:pt>
                <c:pt idx="24">
                  <c:v>5.2341435055561369</c:v>
                </c:pt>
                <c:pt idx="25">
                  <c:v>5.3066127351013677</c:v>
                </c:pt>
                <c:pt idx="26">
                  <c:v>5.3790819646465984</c:v>
                </c:pt>
                <c:pt idx="27">
                  <c:v>5.4515511941918291</c:v>
                </c:pt>
                <c:pt idx="28">
                  <c:v>5.5240204237370598</c:v>
                </c:pt>
                <c:pt idx="29">
                  <c:v>5.5964896532822905</c:v>
                </c:pt>
                <c:pt idx="30">
                  <c:v>5.6689588828275213</c:v>
                </c:pt>
                <c:pt idx="31">
                  <c:v>5.741428112372752</c:v>
                </c:pt>
                <c:pt idx="32">
                  <c:v>5.8138973419179827</c:v>
                </c:pt>
                <c:pt idx="33">
                  <c:v>5.8863665714632134</c:v>
                </c:pt>
                <c:pt idx="34">
                  <c:v>5.9588358010084441</c:v>
                </c:pt>
                <c:pt idx="35">
                  <c:v>6.0313050305536748</c:v>
                </c:pt>
                <c:pt idx="36">
                  <c:v>6.1037742600989056</c:v>
                </c:pt>
                <c:pt idx="37">
                  <c:v>6.1762434896441363</c:v>
                </c:pt>
                <c:pt idx="38">
                  <c:v>6.248712719189367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5DB1-4EAD-B94F-0E060A5FFA0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93762720"/>
        <c:axId val="693748800"/>
      </c:lineChart>
      <c:catAx>
        <c:axId val="69376272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l-PL"/>
          </a:p>
        </c:txPr>
        <c:crossAx val="693748800"/>
        <c:crosses val="autoZero"/>
        <c:auto val="1"/>
        <c:lblAlgn val="ctr"/>
        <c:lblOffset val="100"/>
        <c:noMultiLvlLbl val="0"/>
      </c:catAx>
      <c:valAx>
        <c:axId val="6937488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l-PL"/>
          </a:p>
        </c:txPr>
        <c:crossAx val="693762720"/>
        <c:crosses val="autoZero"/>
        <c:crossBetween val="between"/>
      </c:valAx>
      <c:spPr>
        <a:noFill/>
        <a:ln w="25400"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l-PL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pl-PL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chart" Target="../charts/chart2.xml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chart" Target="../charts/chart3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18</xdr:col>
      <xdr:colOff>557061</xdr:colOff>
      <xdr:row>0</xdr:row>
      <xdr:rowOff>238626</xdr:rowOff>
    </xdr:from>
    <xdr:to>
      <xdr:col>27</xdr:col>
      <xdr:colOff>561507</xdr:colOff>
      <xdr:row>21</xdr:row>
      <xdr:rowOff>6339</xdr:rowOff>
    </xdr:to>
    <xdr:pic>
      <xdr:nvPicPr>
        <xdr:cNvPr id="3" name="Obraz 2" descr="Obraz zawierający tekst, Czcionka, diagram, zrzut ekranu&#10;&#10;Zawartość wygenerowana przez sztuczną inteligencję może być niepoprawna.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158511" y="238626"/>
          <a:ext cx="6176646" cy="4019373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390525</xdr:colOff>
          <xdr:row>2</xdr:row>
          <xdr:rowOff>19050</xdr:rowOff>
        </xdr:from>
        <xdr:to>
          <xdr:col>13</xdr:col>
          <xdr:colOff>28575</xdr:colOff>
          <xdr:row>3</xdr:row>
          <xdr:rowOff>180975</xdr:rowOff>
        </xdr:to>
        <xdr:sp macro="" textlink="">
          <xdr:nvSpPr>
            <xdr:cNvPr id="4097" name="Button 1" descr="Oblicz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0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l-PL" sz="1100" b="1" i="0" u="none" strike="noStrike" baseline="0">
                  <a:solidFill>
                    <a:srgbClr val="000000"/>
                  </a:solidFill>
                  <a:latin typeface="Aptos Narrow"/>
                </a:rPr>
                <a:t>Oblicz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466725</xdr:colOff>
          <xdr:row>2</xdr:row>
          <xdr:rowOff>38100</xdr:rowOff>
        </xdr:from>
        <xdr:to>
          <xdr:col>15</xdr:col>
          <xdr:colOff>9525</xdr:colOff>
          <xdr:row>3</xdr:row>
          <xdr:rowOff>152400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0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l-PL" sz="1100" b="0" i="0" u="none" strike="noStrike" baseline="0">
                  <a:solidFill>
                    <a:srgbClr val="000000"/>
                  </a:solidFill>
                  <a:latin typeface="Aptos Narrow"/>
                </a:rPr>
                <a:t>Clear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516255</xdr:colOff>
      <xdr:row>9</xdr:row>
      <xdr:rowOff>117157</xdr:rowOff>
    </xdr:from>
    <xdr:to>
      <xdr:col>11</xdr:col>
      <xdr:colOff>211455</xdr:colOff>
      <xdr:row>27</xdr:row>
      <xdr:rowOff>36195</xdr:rowOff>
    </xdr:to>
    <xdr:graphicFrame macro="">
      <xdr:nvGraphicFramePr>
        <xdr:cNvPr id="2" name="Wykres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12</xdr:col>
      <xdr:colOff>426720</xdr:colOff>
      <xdr:row>1</xdr:row>
      <xdr:rowOff>38100</xdr:rowOff>
    </xdr:from>
    <xdr:to>
      <xdr:col>21</xdr:col>
      <xdr:colOff>431165</xdr:colOff>
      <xdr:row>22</xdr:row>
      <xdr:rowOff>49530</xdr:rowOff>
    </xdr:to>
    <xdr:pic>
      <xdr:nvPicPr>
        <xdr:cNvPr id="3" name="Obraz 2" descr="Obraz zawierający tekst, Czcionka, diagram, zrzut ekranu&#10;&#10;Zawartość wygenerowana przez sztuczną inteligencję może być niepoprawna.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7406640" y="220980"/>
          <a:ext cx="5490845" cy="4095750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516255</xdr:colOff>
      <xdr:row>9</xdr:row>
      <xdr:rowOff>117157</xdr:rowOff>
    </xdr:from>
    <xdr:to>
      <xdr:col>11</xdr:col>
      <xdr:colOff>211455</xdr:colOff>
      <xdr:row>27</xdr:row>
      <xdr:rowOff>36195</xdr:rowOff>
    </xdr:to>
    <xdr:graphicFrame macro="">
      <xdr:nvGraphicFramePr>
        <xdr:cNvPr id="2" name="Wykres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12</xdr:col>
      <xdr:colOff>426720</xdr:colOff>
      <xdr:row>1</xdr:row>
      <xdr:rowOff>38100</xdr:rowOff>
    </xdr:from>
    <xdr:to>
      <xdr:col>21</xdr:col>
      <xdr:colOff>431165</xdr:colOff>
      <xdr:row>21</xdr:row>
      <xdr:rowOff>159434</xdr:rowOff>
    </xdr:to>
    <xdr:pic>
      <xdr:nvPicPr>
        <xdr:cNvPr id="3" name="Obraz 2" descr="Obraz zawierający tekst, Czcionka, diagram, zrzut ekranu&#10;&#10;Zawartość wygenerowana przez sztuczną inteligencję może być niepoprawna.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8599170" y="342900"/>
          <a:ext cx="6176645" cy="4040505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507771</xdr:colOff>
      <xdr:row>3</xdr:row>
      <xdr:rowOff>281048</xdr:rowOff>
    </xdr:from>
    <xdr:to>
      <xdr:col>17</xdr:col>
      <xdr:colOff>203742</xdr:colOff>
      <xdr:row>21</xdr:row>
      <xdr:rowOff>24240</xdr:rowOff>
    </xdr:to>
    <xdr:graphicFrame macro="">
      <xdr:nvGraphicFramePr>
        <xdr:cNvPr id="2" name="Wykres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17</xdr:col>
      <xdr:colOff>557061</xdr:colOff>
      <xdr:row>0</xdr:row>
      <xdr:rowOff>238626</xdr:rowOff>
    </xdr:from>
    <xdr:to>
      <xdr:col>26</xdr:col>
      <xdr:colOff>561507</xdr:colOff>
      <xdr:row>21</xdr:row>
      <xdr:rowOff>76524</xdr:rowOff>
    </xdr:to>
    <xdr:pic>
      <xdr:nvPicPr>
        <xdr:cNvPr id="3" name="Obraz 2" descr="Obraz zawierający tekst, Czcionka, diagram, zrzut ekranu&#10;&#10;Zawartość wygenerowana przez sztuczną inteligencję może być niepoprawna.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2107377" y="238626"/>
          <a:ext cx="6140551" cy="4008845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Motyw pakietu Office">
  <a:themeElements>
    <a:clrScheme name="Pakiet 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Pakiet 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Pakiet 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460CF1-3D14-45AE-92B3-F6877C410C96}">
  <sheetPr codeName="Arkusz1"/>
  <dimension ref="A1:AA126"/>
  <sheetViews>
    <sheetView tabSelected="1" zoomScale="95" zoomScaleNormal="95" workbookViewId="0">
      <selection activeCell="P10" sqref="P10"/>
    </sheetView>
  </sheetViews>
  <sheetFormatPr defaultRowHeight="14.25"/>
  <cols>
    <col min="2" max="2" width="8.25" customWidth="1"/>
    <col min="8" max="8" width="8.5" customWidth="1"/>
    <col min="9" max="9" width="9.375" bestFit="1" customWidth="1"/>
  </cols>
  <sheetData>
    <row r="1" spans="1:27" ht="24" thickBot="1">
      <c r="A1" s="10" t="s">
        <v>9</v>
      </c>
      <c r="L1" s="3" t="s">
        <v>6</v>
      </c>
      <c r="Z1" t="e">
        <f t="array" aca="1" ref="Z1:AA1" ca="1">REGLINP(D4:D69,C4:C69)</f>
        <v>#NAME?</v>
      </c>
      <c r="AA1" t="e">
        <f ca="1"/>
        <v>#NAME?</v>
      </c>
    </row>
    <row r="2" spans="1:27" ht="21" thickBot="1">
      <c r="A2" s="11">
        <v>123</v>
      </c>
      <c r="G2" s="4"/>
      <c r="I2" s="4"/>
    </row>
    <row r="3" spans="1:27" ht="20.25">
      <c r="B3" t="s">
        <v>0</v>
      </c>
      <c r="C3" t="s">
        <v>1</v>
      </c>
      <c r="D3" t="s">
        <v>2</v>
      </c>
      <c r="E3" t="s">
        <v>3</v>
      </c>
      <c r="F3" t="s">
        <v>10</v>
      </c>
      <c r="G3" s="4" t="s">
        <v>11</v>
      </c>
      <c r="I3" s="4" t="s">
        <v>12</v>
      </c>
    </row>
    <row r="4" spans="1:27" ht="20.25">
      <c r="B4">
        <v>1</v>
      </c>
      <c r="C4">
        <v>1</v>
      </c>
      <c r="D4">
        <v>8</v>
      </c>
      <c r="E4">
        <v>5.4066351953842116</v>
      </c>
      <c r="F4">
        <v>6.7255410098198869</v>
      </c>
      <c r="G4" s="5">
        <v>-2.1346300189601609E-3</v>
      </c>
      <c r="I4" s="7">
        <v>5.408769825403172</v>
      </c>
    </row>
    <row r="5" spans="1:27">
      <c r="B5">
        <v>2</v>
      </c>
      <c r="C5">
        <v>2</v>
      </c>
      <c r="D5">
        <v>1</v>
      </c>
      <c r="E5">
        <v>5.404500565365252</v>
      </c>
      <c r="F5">
        <v>19.399625230302824</v>
      </c>
    </row>
    <row r="6" spans="1:27">
      <c r="B6">
        <v>3</v>
      </c>
      <c r="C6">
        <v>3</v>
      </c>
      <c r="D6">
        <v>6</v>
      </c>
      <c r="E6">
        <v>5.4023659353462916</v>
      </c>
      <c r="F6">
        <v>0.35716647523451289</v>
      </c>
    </row>
    <row r="7" spans="1:27">
      <c r="B7">
        <v>4</v>
      </c>
      <c r="C7">
        <v>4</v>
      </c>
      <c r="D7">
        <v>6</v>
      </c>
      <c r="E7">
        <v>5.4002313053273312</v>
      </c>
      <c r="F7">
        <v>0.359722487109357</v>
      </c>
    </row>
    <row r="8" spans="1:27">
      <c r="B8">
        <v>5</v>
      </c>
      <c r="C8">
        <v>5</v>
      </c>
      <c r="D8">
        <v>3</v>
      </c>
      <c r="E8">
        <v>5.3980966753083708</v>
      </c>
      <c r="F8">
        <v>5.7508676641250611</v>
      </c>
    </row>
    <row r="9" spans="1:27" ht="20.25">
      <c r="B9">
        <v>6</v>
      </c>
      <c r="C9">
        <v>6</v>
      </c>
      <c r="D9">
        <v>5</v>
      </c>
      <c r="E9">
        <v>5.3959620452894113</v>
      </c>
      <c r="F9">
        <v>0.15678594130977377</v>
      </c>
      <c r="G9" s="4"/>
      <c r="I9" s="4"/>
    </row>
    <row r="10" spans="1:27">
      <c r="B10">
        <v>7</v>
      </c>
      <c r="C10">
        <v>7</v>
      </c>
      <c r="D10">
        <v>6</v>
      </c>
      <c r="E10">
        <v>5.3938274152704508</v>
      </c>
      <c r="F10">
        <v>0.36744520247770246</v>
      </c>
    </row>
    <row r="11" spans="1:27">
      <c r="B11">
        <v>8</v>
      </c>
      <c r="C11">
        <v>8</v>
      </c>
      <c r="D11">
        <v>4</v>
      </c>
      <c r="E11">
        <v>5.3916927852514904</v>
      </c>
      <c r="F11">
        <v>1.9368088085210511</v>
      </c>
    </row>
    <row r="12" spans="1:27">
      <c r="B12">
        <v>9</v>
      </c>
      <c r="C12">
        <v>9</v>
      </c>
      <c r="D12">
        <v>7</v>
      </c>
      <c r="E12">
        <v>5.3895581552325309</v>
      </c>
      <c r="F12">
        <v>2.5935229353780489</v>
      </c>
    </row>
    <row r="13" spans="1:27">
      <c r="B13">
        <v>10</v>
      </c>
      <c r="C13">
        <v>10</v>
      </c>
      <c r="D13">
        <v>5</v>
      </c>
      <c r="E13">
        <v>5.3874235252135705</v>
      </c>
      <c r="F13">
        <v>0.1500969878889101</v>
      </c>
    </row>
    <row r="14" spans="1:27">
      <c r="B14">
        <v>11</v>
      </c>
      <c r="C14">
        <v>11</v>
      </c>
      <c r="D14">
        <v>9</v>
      </c>
      <c r="E14">
        <v>5.3852888951946101</v>
      </c>
      <c r="F14">
        <v>13.066136371203402</v>
      </c>
    </row>
    <row r="15" spans="1:27">
      <c r="B15">
        <v>12</v>
      </c>
      <c r="C15">
        <v>12</v>
      </c>
      <c r="D15">
        <v>1</v>
      </c>
      <c r="E15">
        <v>5.3831542651756497</v>
      </c>
      <c r="F15">
        <v>19.212041312327489</v>
      </c>
    </row>
    <row r="16" spans="1:27">
      <c r="B16">
        <v>13</v>
      </c>
      <c r="C16">
        <v>13</v>
      </c>
      <c r="D16">
        <v>6</v>
      </c>
      <c r="E16">
        <v>5.3810196351566901</v>
      </c>
      <c r="F16">
        <v>0.38313669206155698</v>
      </c>
    </row>
    <row r="17" spans="2:11">
      <c r="B17">
        <v>14</v>
      </c>
      <c r="C17">
        <v>14</v>
      </c>
      <c r="D17">
        <v>7</v>
      </c>
      <c r="E17">
        <v>5.3788850051377297</v>
      </c>
      <c r="F17">
        <v>2.6280138265672988</v>
      </c>
    </row>
    <row r="18" spans="2:11">
      <c r="B18">
        <v>15</v>
      </c>
      <c r="C18">
        <v>15</v>
      </c>
      <c r="D18">
        <v>3</v>
      </c>
      <c r="E18">
        <v>5.3767503751187693</v>
      </c>
      <c r="F18">
        <v>5.6489423456272103</v>
      </c>
    </row>
    <row r="19" spans="2:11">
      <c r="B19">
        <v>16</v>
      </c>
      <c r="C19">
        <v>16</v>
      </c>
      <c r="D19">
        <v>10</v>
      </c>
      <c r="E19">
        <v>5.3746157450998098</v>
      </c>
      <c r="F19">
        <v>21.394179505478586</v>
      </c>
    </row>
    <row r="20" spans="2:11">
      <c r="B20">
        <v>17</v>
      </c>
      <c r="C20">
        <v>17</v>
      </c>
      <c r="D20">
        <v>4</v>
      </c>
      <c r="E20">
        <v>5.3724811150808494</v>
      </c>
      <c r="F20">
        <v>1.8837044112535717</v>
      </c>
    </row>
    <row r="21" spans="2:11">
      <c r="B21">
        <v>18</v>
      </c>
      <c r="C21">
        <v>18</v>
      </c>
      <c r="D21">
        <v>5</v>
      </c>
      <c r="E21">
        <v>5.3703464850618889</v>
      </c>
      <c r="F21">
        <v>0.13715651899769593</v>
      </c>
    </row>
    <row r="22" spans="2:11">
      <c r="B22">
        <v>19</v>
      </c>
      <c r="C22">
        <v>19</v>
      </c>
      <c r="D22">
        <v>7</v>
      </c>
      <c r="E22">
        <v>5.3682118550429285</v>
      </c>
      <c r="F22">
        <v>2.6627325500224406</v>
      </c>
    </row>
    <row r="23" spans="2:11">
      <c r="B23">
        <v>20</v>
      </c>
      <c r="C23">
        <v>20</v>
      </c>
      <c r="D23" s="9">
        <v>10</v>
      </c>
      <c r="E23">
        <v>5.366077225023969</v>
      </c>
      <c r="F23">
        <v>21.473240284441559</v>
      </c>
      <c r="G23" s="2"/>
      <c r="H23" s="2"/>
    </row>
    <row r="24" spans="2:11">
      <c r="B24">
        <v>21</v>
      </c>
      <c r="C24">
        <v>21</v>
      </c>
      <c r="D24">
        <v>6</v>
      </c>
      <c r="E24">
        <v>5.3639425950050086</v>
      </c>
      <c r="F24">
        <v>0.40456902244896253</v>
      </c>
    </row>
    <row r="25" spans="2:11">
      <c r="B25">
        <v>22</v>
      </c>
      <c r="C25">
        <v>22</v>
      </c>
      <c r="D25">
        <v>7</v>
      </c>
      <c r="E25">
        <v>5.3618079649860482</v>
      </c>
      <c r="F25">
        <v>2.6836731435831527</v>
      </c>
    </row>
    <row r="26" spans="2:11">
      <c r="B26">
        <v>23</v>
      </c>
      <c r="C26">
        <v>23</v>
      </c>
      <c r="D26">
        <v>2</v>
      </c>
      <c r="E26">
        <v>5.3596733349670886</v>
      </c>
      <c r="F26">
        <v>11.28740491768888</v>
      </c>
    </row>
    <row r="27" spans="2:11">
      <c r="B27">
        <v>24</v>
      </c>
      <c r="C27">
        <v>24</v>
      </c>
      <c r="D27">
        <v>9</v>
      </c>
      <c r="E27">
        <v>5.3575387049481282</v>
      </c>
      <c r="F27">
        <v>13.267524285950959</v>
      </c>
    </row>
    <row r="28" spans="2:11">
      <c r="B28">
        <v>25</v>
      </c>
      <c r="C28">
        <v>25</v>
      </c>
      <c r="D28" s="9">
        <v>6</v>
      </c>
      <c r="E28">
        <v>5.3554040749291678</v>
      </c>
      <c r="F28">
        <v>0.41550390661792191</v>
      </c>
      <c r="G28" s="2"/>
      <c r="H28" s="2"/>
      <c r="I28" s="2"/>
      <c r="J28" s="2"/>
      <c r="K28" s="2"/>
    </row>
    <row r="29" spans="2:11">
      <c r="B29">
        <v>26</v>
      </c>
      <c r="C29">
        <v>26</v>
      </c>
      <c r="D29">
        <v>9</v>
      </c>
      <c r="E29">
        <v>5.3532694449102074</v>
      </c>
      <c r="F29">
        <v>13.298643741425506</v>
      </c>
    </row>
    <row r="30" spans="2:11">
      <c r="B30">
        <v>27</v>
      </c>
      <c r="C30">
        <v>27</v>
      </c>
      <c r="D30">
        <v>1</v>
      </c>
      <c r="E30">
        <v>5.3511348148912479</v>
      </c>
      <c r="F30">
        <v>18.932374177358692</v>
      </c>
    </row>
    <row r="31" spans="2:11">
      <c r="B31">
        <v>28</v>
      </c>
      <c r="C31">
        <v>28</v>
      </c>
      <c r="D31">
        <v>4</v>
      </c>
      <c r="E31">
        <v>5.3490001848722875</v>
      </c>
      <c r="F31">
        <v>1.8198014987854658</v>
      </c>
    </row>
    <row r="32" spans="2:11">
      <c r="B32">
        <v>29</v>
      </c>
      <c r="C32">
        <v>29</v>
      </c>
      <c r="D32">
        <v>8</v>
      </c>
      <c r="E32">
        <v>5.346865554853327</v>
      </c>
      <c r="F32">
        <v>7.0391223840237442</v>
      </c>
    </row>
    <row r="33" spans="2:6">
      <c r="B33">
        <v>30</v>
      </c>
      <c r="C33">
        <v>30</v>
      </c>
      <c r="D33">
        <v>4</v>
      </c>
      <c r="E33">
        <v>5.3447309248343675</v>
      </c>
      <c r="F33">
        <v>1.8083012602058934</v>
      </c>
    </row>
    <row r="34" spans="2:6">
      <c r="B34">
        <v>31</v>
      </c>
      <c r="C34">
        <v>31</v>
      </c>
      <c r="D34">
        <v>6</v>
      </c>
      <c r="E34">
        <v>5.3425962948154071</v>
      </c>
      <c r="F34">
        <v>0.43217963159043116</v>
      </c>
    </row>
    <row r="35" spans="2:6">
      <c r="B35">
        <v>32</v>
      </c>
      <c r="C35">
        <v>32</v>
      </c>
      <c r="D35">
        <v>5</v>
      </c>
      <c r="E35">
        <v>5.3404616647964467</v>
      </c>
      <c r="F35">
        <v>0.11591414519596803</v>
      </c>
    </row>
    <row r="36" spans="2:6">
      <c r="B36">
        <v>33</v>
      </c>
      <c r="C36">
        <v>33</v>
      </c>
      <c r="D36">
        <v>5</v>
      </c>
      <c r="E36">
        <v>5.3383270347774863</v>
      </c>
      <c r="F36">
        <v>0.11446518246132641</v>
      </c>
    </row>
    <row r="37" spans="2:6">
      <c r="B37">
        <v>34</v>
      </c>
      <c r="C37">
        <v>34</v>
      </c>
      <c r="D37">
        <v>4</v>
      </c>
      <c r="E37">
        <v>5.3361924047585267</v>
      </c>
      <c r="F37">
        <v>1.7854101425343745</v>
      </c>
    </row>
    <row r="38" spans="2:6">
      <c r="B38">
        <v>35</v>
      </c>
      <c r="C38">
        <v>35</v>
      </c>
      <c r="D38">
        <v>2</v>
      </c>
      <c r="E38">
        <v>5.3340577747395663</v>
      </c>
      <c r="F38">
        <v>11.115941245301348</v>
      </c>
    </row>
    <row r="39" spans="2:6">
      <c r="B39">
        <v>36</v>
      </c>
      <c r="C39">
        <v>36</v>
      </c>
      <c r="D39">
        <v>9</v>
      </c>
      <c r="E39">
        <v>5.3319231447206059</v>
      </c>
      <c r="F39">
        <v>13.454787816236369</v>
      </c>
    </row>
    <row r="40" spans="2:6">
      <c r="B40">
        <v>37</v>
      </c>
      <c r="C40">
        <v>37</v>
      </c>
      <c r="D40">
        <v>9</v>
      </c>
      <c r="E40">
        <v>5.3297885147016464</v>
      </c>
      <c r="F40">
        <v>13.470452346815946</v>
      </c>
    </row>
    <row r="41" spans="2:6">
      <c r="B41">
        <v>38</v>
      </c>
      <c r="C41">
        <v>38</v>
      </c>
      <c r="D41">
        <v>7</v>
      </c>
      <c r="E41">
        <v>5.327653884682686</v>
      </c>
      <c r="F41">
        <v>2.7967415294169111</v>
      </c>
    </row>
    <row r="42" spans="2:6">
      <c r="B42">
        <v>39</v>
      </c>
      <c r="C42">
        <v>39</v>
      </c>
      <c r="D42">
        <v>1</v>
      </c>
      <c r="E42">
        <v>5.3255192546637256</v>
      </c>
      <c r="F42">
        <v>18.710116822466631</v>
      </c>
    </row>
    <row r="43" spans="2:6">
      <c r="B43">
        <v>40</v>
      </c>
      <c r="C43">
        <v>40</v>
      </c>
      <c r="D43">
        <v>6</v>
      </c>
      <c r="E43">
        <v>5.3233846246447651</v>
      </c>
      <c r="F43">
        <v>0.45780836616710535</v>
      </c>
    </row>
    <row r="44" spans="2:6">
      <c r="B44">
        <v>41</v>
      </c>
      <c r="C44">
        <v>41</v>
      </c>
      <c r="D44">
        <v>10</v>
      </c>
      <c r="E44">
        <v>5.3212499946258056</v>
      </c>
      <c r="F44">
        <v>21.890701612789023</v>
      </c>
    </row>
    <row r="45" spans="2:6">
      <c r="B45">
        <v>42</v>
      </c>
      <c r="C45">
        <v>42</v>
      </c>
      <c r="D45">
        <v>9</v>
      </c>
      <c r="E45">
        <v>5.3191153646068452</v>
      </c>
      <c r="F45">
        <v>13.548911699073399</v>
      </c>
    </row>
    <row r="46" spans="2:6">
      <c r="B46">
        <v>43</v>
      </c>
      <c r="C46">
        <v>43</v>
      </c>
      <c r="D46">
        <v>1</v>
      </c>
      <c r="E46">
        <v>5.3169807345878848</v>
      </c>
      <c r="F46">
        <v>18.636322662802954</v>
      </c>
    </row>
    <row r="47" spans="2:6">
      <c r="B47">
        <v>44</v>
      </c>
      <c r="C47">
        <v>44</v>
      </c>
      <c r="D47">
        <v>10</v>
      </c>
      <c r="E47">
        <v>5.3148461045689253</v>
      </c>
      <c r="F47">
        <v>21.950667023872974</v>
      </c>
    </row>
    <row r="48" spans="2:6">
      <c r="B48">
        <v>45</v>
      </c>
      <c r="C48">
        <v>45</v>
      </c>
      <c r="D48">
        <v>10</v>
      </c>
      <c r="E48">
        <v>5.3127114745499648</v>
      </c>
      <c r="F48">
        <v>21.970673720815565</v>
      </c>
    </row>
    <row r="49" spans="2:6">
      <c r="B49">
        <v>46</v>
      </c>
      <c r="C49">
        <v>46</v>
      </c>
      <c r="D49">
        <v>2</v>
      </c>
      <c r="E49">
        <v>5.3105768445310044</v>
      </c>
      <c r="F49">
        <v>10.959919043544863</v>
      </c>
    </row>
    <row r="50" spans="2:6">
      <c r="B50">
        <v>47</v>
      </c>
      <c r="C50">
        <v>47</v>
      </c>
      <c r="D50">
        <v>6</v>
      </c>
      <c r="E50">
        <v>5.308442214512044</v>
      </c>
      <c r="F50">
        <v>0.47825217066900577</v>
      </c>
    </row>
    <row r="51" spans="2:6">
      <c r="B51">
        <v>48</v>
      </c>
      <c r="C51">
        <v>48</v>
      </c>
      <c r="D51">
        <v>2</v>
      </c>
      <c r="E51">
        <v>5.3063075844930845</v>
      </c>
      <c r="F51">
        <v>10.931669843276495</v>
      </c>
    </row>
    <row r="52" spans="2:6">
      <c r="B52">
        <v>49</v>
      </c>
      <c r="C52">
        <v>49</v>
      </c>
      <c r="D52">
        <v>6</v>
      </c>
      <c r="E52">
        <v>5.3041729544741241</v>
      </c>
      <c r="F52">
        <v>0.48417527728526943</v>
      </c>
    </row>
    <row r="53" spans="2:6">
      <c r="B53">
        <v>50</v>
      </c>
      <c r="C53">
        <v>50</v>
      </c>
      <c r="D53">
        <v>1</v>
      </c>
      <c r="E53">
        <v>5.3020383244551637</v>
      </c>
      <c r="F53">
        <v>18.507533745080991</v>
      </c>
    </row>
    <row r="54" spans="2:6">
      <c r="B54">
        <v>51</v>
      </c>
      <c r="C54">
        <v>51</v>
      </c>
      <c r="D54">
        <v>1</v>
      </c>
      <c r="E54">
        <v>5.2999036944362041</v>
      </c>
      <c r="F54">
        <v>18.489171781426116</v>
      </c>
    </row>
    <row r="55" spans="2:6">
      <c r="B55">
        <v>52</v>
      </c>
      <c r="C55">
        <v>52</v>
      </c>
      <c r="D55">
        <v>9</v>
      </c>
      <c r="E55">
        <v>5.2977690644172437</v>
      </c>
      <c r="F55">
        <v>13.706513900385971</v>
      </c>
    </row>
    <row r="56" spans="2:6">
      <c r="B56">
        <v>53</v>
      </c>
      <c r="C56">
        <v>53</v>
      </c>
      <c r="D56">
        <v>9</v>
      </c>
      <c r="E56">
        <v>5.2956344343982833</v>
      </c>
      <c r="F56">
        <v>13.722324243615727</v>
      </c>
    </row>
    <row r="57" spans="2:6">
      <c r="B57">
        <v>54</v>
      </c>
      <c r="C57">
        <v>54</v>
      </c>
      <c r="D57">
        <v>5</v>
      </c>
      <c r="E57">
        <v>5.2934998043793229</v>
      </c>
      <c r="F57">
        <v>8.6142135170700795E-2</v>
      </c>
    </row>
    <row r="58" spans="2:6">
      <c r="B58">
        <v>55</v>
      </c>
      <c r="C58">
        <v>55</v>
      </c>
      <c r="D58">
        <v>8</v>
      </c>
      <c r="E58">
        <v>5.2913651743603634</v>
      </c>
      <c r="F58">
        <v>7.3367026186678652</v>
      </c>
    </row>
    <row r="59" spans="2:6">
      <c r="B59">
        <v>56</v>
      </c>
      <c r="C59">
        <v>56</v>
      </c>
      <c r="D59">
        <v>2</v>
      </c>
      <c r="E59">
        <v>5.2892305443414029</v>
      </c>
      <c r="F59">
        <v>10.819037573828442</v>
      </c>
    </row>
    <row r="60" spans="2:6">
      <c r="B60">
        <v>57</v>
      </c>
      <c r="C60">
        <v>57</v>
      </c>
      <c r="D60">
        <v>3</v>
      </c>
      <c r="E60">
        <v>5.2870959143224425</v>
      </c>
      <c r="F60">
        <v>5.2308077213104092</v>
      </c>
    </row>
    <row r="61" spans="2:6">
      <c r="B61">
        <v>58</v>
      </c>
      <c r="C61">
        <v>58</v>
      </c>
      <c r="D61">
        <v>3</v>
      </c>
      <c r="E61">
        <v>5.284961284303483</v>
      </c>
      <c r="F61">
        <v>5.2210480707658222</v>
      </c>
    </row>
    <row r="62" spans="2:6">
      <c r="B62">
        <v>59</v>
      </c>
      <c r="C62">
        <v>59</v>
      </c>
      <c r="D62">
        <v>1</v>
      </c>
      <c r="E62">
        <v>5.2828266542845226</v>
      </c>
      <c r="F62">
        <v>18.342604150649958</v>
      </c>
    </row>
    <row r="63" spans="2:6">
      <c r="B63">
        <v>60</v>
      </c>
      <c r="C63">
        <v>60</v>
      </c>
      <c r="D63">
        <v>7</v>
      </c>
      <c r="E63">
        <v>5.2806920242655622</v>
      </c>
      <c r="F63">
        <v>2.9560199154240503</v>
      </c>
    </row>
    <row r="64" spans="2:6">
      <c r="B64">
        <v>61</v>
      </c>
      <c r="C64">
        <v>61</v>
      </c>
      <c r="D64">
        <v>1</v>
      </c>
      <c r="E64">
        <v>5.2785573942466018</v>
      </c>
      <c r="F64">
        <v>18.30605337586227</v>
      </c>
    </row>
    <row r="65" spans="2:6">
      <c r="B65">
        <v>62</v>
      </c>
      <c r="C65">
        <v>62</v>
      </c>
      <c r="D65">
        <v>7</v>
      </c>
      <c r="E65">
        <v>5.2764227642276422</v>
      </c>
      <c r="F65">
        <v>2.970718487672682</v>
      </c>
    </row>
    <row r="66" spans="2:6">
      <c r="B66">
        <v>63</v>
      </c>
      <c r="C66">
        <v>63</v>
      </c>
      <c r="D66">
        <v>8</v>
      </c>
      <c r="E66">
        <v>5.2742881342086818</v>
      </c>
      <c r="F66">
        <v>7.4295051753155894</v>
      </c>
    </row>
    <row r="67" spans="2:6">
      <c r="B67">
        <v>64</v>
      </c>
      <c r="C67">
        <v>64</v>
      </c>
      <c r="D67">
        <v>4</v>
      </c>
      <c r="E67">
        <v>5.2721535041897214</v>
      </c>
      <c r="F67">
        <v>1.6183745382221875</v>
      </c>
    </row>
    <row r="68" spans="2:6">
      <c r="B68">
        <v>65</v>
      </c>
      <c r="C68">
        <v>65</v>
      </c>
      <c r="D68">
        <v>4</v>
      </c>
      <c r="E68">
        <v>5.2700188741707619</v>
      </c>
      <c r="F68">
        <v>1.6129479407499694</v>
      </c>
    </row>
    <row r="69" spans="2:6">
      <c r="B69">
        <v>66</v>
      </c>
      <c r="C69">
        <v>66</v>
      </c>
      <c r="D69">
        <v>1</v>
      </c>
      <c r="E69">
        <v>5.2678842441518015</v>
      </c>
      <c r="F69">
        <v>18.214835921479192</v>
      </c>
    </row>
    <row r="70" spans="2:6">
      <c r="B70">
        <v>67</v>
      </c>
      <c r="C70">
        <v>67</v>
      </c>
      <c r="D70">
        <v>6</v>
      </c>
      <c r="E70">
        <v>5.265749614132841</v>
      </c>
      <c r="F70">
        <v>0.53912362914607181</v>
      </c>
    </row>
    <row r="71" spans="2:6">
      <c r="B71">
        <v>68</v>
      </c>
      <c r="C71">
        <v>68</v>
      </c>
      <c r="D71">
        <v>1</v>
      </c>
      <c r="E71">
        <v>5.2636149841138806</v>
      </c>
      <c r="F71">
        <v>18.178412732760407</v>
      </c>
    </row>
    <row r="72" spans="2:6">
      <c r="B72">
        <v>69</v>
      </c>
      <c r="C72">
        <v>69</v>
      </c>
      <c r="D72">
        <v>1</v>
      </c>
      <c r="E72">
        <v>5.2614803540949211</v>
      </c>
      <c r="F72">
        <v>18.160214808336974</v>
      </c>
    </row>
    <row r="73" spans="2:6">
      <c r="B73">
        <v>70</v>
      </c>
      <c r="C73">
        <v>70</v>
      </c>
      <c r="D73">
        <v>9</v>
      </c>
      <c r="E73">
        <v>5.2593457240759607</v>
      </c>
      <c r="F73">
        <v>13.992494411988799</v>
      </c>
    </row>
    <row r="74" spans="2:6">
      <c r="B74">
        <v>71</v>
      </c>
      <c r="C74">
        <v>71</v>
      </c>
      <c r="D74">
        <v>3</v>
      </c>
      <c r="E74">
        <v>5.2572110940570003</v>
      </c>
      <c r="F74">
        <v>5.0950019231340002</v>
      </c>
    </row>
    <row r="75" spans="2:6">
      <c r="B75">
        <v>72</v>
      </c>
      <c r="C75">
        <v>72</v>
      </c>
      <c r="D75">
        <v>2</v>
      </c>
      <c r="E75">
        <v>5.2550764640380407</v>
      </c>
      <c r="F75">
        <v>10.595522786734394</v>
      </c>
    </row>
    <row r="76" spans="2:6">
      <c r="B76">
        <v>73</v>
      </c>
      <c r="C76">
        <v>73</v>
      </c>
      <c r="D76">
        <v>10</v>
      </c>
      <c r="E76">
        <v>5.2529418340190803</v>
      </c>
      <c r="F76">
        <v>22.534561231206133</v>
      </c>
    </row>
    <row r="77" spans="2:6">
      <c r="B77">
        <v>74</v>
      </c>
      <c r="C77">
        <v>74</v>
      </c>
      <c r="D77">
        <v>1</v>
      </c>
      <c r="E77">
        <v>5.2508072040001199</v>
      </c>
      <c r="F77">
        <v>18.069361885579315</v>
      </c>
    </row>
    <row r="78" spans="2:6">
      <c r="B78">
        <v>75</v>
      </c>
      <c r="C78">
        <v>75</v>
      </c>
      <c r="D78">
        <v>8</v>
      </c>
      <c r="E78">
        <v>5.2486725739811595</v>
      </c>
      <c r="F78">
        <v>7.5698026051634582</v>
      </c>
    </row>
    <row r="79" spans="2:6">
      <c r="B79">
        <v>76</v>
      </c>
      <c r="C79">
        <v>76</v>
      </c>
      <c r="D79">
        <v>5</v>
      </c>
      <c r="E79">
        <v>5.2465379439622</v>
      </c>
      <c r="F79">
        <v>6.0780957813108855E-2</v>
      </c>
    </row>
    <row r="80" spans="2:6">
      <c r="B80">
        <v>77</v>
      </c>
      <c r="C80">
        <v>77</v>
      </c>
      <c r="D80">
        <v>10</v>
      </c>
      <c r="E80">
        <v>5.2444033139432396</v>
      </c>
      <c r="F80">
        <v>22.615699840434043</v>
      </c>
    </row>
    <row r="81" spans="2:6">
      <c r="B81">
        <v>78</v>
      </c>
      <c r="C81">
        <v>78</v>
      </c>
      <c r="D81">
        <v>5</v>
      </c>
      <c r="E81">
        <v>5.2422686839242791</v>
      </c>
      <c r="F81">
        <v>5.869411521040227E-2</v>
      </c>
    </row>
    <row r="82" spans="2:6">
      <c r="B82">
        <v>79</v>
      </c>
      <c r="C82">
        <v>79</v>
      </c>
      <c r="D82">
        <v>3</v>
      </c>
      <c r="E82">
        <v>5.2401340539053196</v>
      </c>
      <c r="F82">
        <v>5.0182005794662814</v>
      </c>
    </row>
    <row r="83" spans="2:6">
      <c r="B83">
        <v>80</v>
      </c>
      <c r="C83">
        <v>80</v>
      </c>
      <c r="D83">
        <v>6</v>
      </c>
      <c r="E83">
        <v>5.2379994238863592</v>
      </c>
      <c r="F83">
        <v>0.58064487799752051</v>
      </c>
    </row>
    <row r="84" spans="2:6">
      <c r="B84">
        <v>81</v>
      </c>
      <c r="C84">
        <v>81</v>
      </c>
      <c r="D84">
        <v>3</v>
      </c>
      <c r="E84">
        <v>5.2358647938673988</v>
      </c>
      <c r="F84">
        <v>4.9990913764557057</v>
      </c>
    </row>
    <row r="85" spans="2:6">
      <c r="B85">
        <v>82</v>
      </c>
      <c r="C85">
        <v>82</v>
      </c>
      <c r="D85">
        <v>5</v>
      </c>
      <c r="E85">
        <v>5.2337301638484384</v>
      </c>
      <c r="F85">
        <v>5.4629789492617847E-2</v>
      </c>
    </row>
    <row r="86" spans="2:6">
      <c r="B86">
        <v>83</v>
      </c>
      <c r="C86">
        <v>83</v>
      </c>
      <c r="D86">
        <v>2</v>
      </c>
      <c r="E86">
        <v>5.2315955338294788</v>
      </c>
      <c r="F86">
        <v>10.443209694266635</v>
      </c>
    </row>
    <row r="87" spans="2:6">
      <c r="B87">
        <v>84</v>
      </c>
      <c r="C87">
        <v>84</v>
      </c>
      <c r="D87">
        <v>10</v>
      </c>
      <c r="E87">
        <v>5.2294609038105184</v>
      </c>
      <c r="F87">
        <v>22.758043268272356</v>
      </c>
    </row>
    <row r="88" spans="2:6">
      <c r="B88">
        <v>85</v>
      </c>
      <c r="C88">
        <v>85</v>
      </c>
      <c r="D88">
        <v>1</v>
      </c>
      <c r="E88">
        <v>5.227326273791558</v>
      </c>
      <c r="F88">
        <v>17.870287425088417</v>
      </c>
    </row>
    <row r="89" spans="2:6">
      <c r="B89">
        <v>86</v>
      </c>
      <c r="C89">
        <v>86</v>
      </c>
      <c r="D89">
        <v>9</v>
      </c>
      <c r="E89">
        <v>5.2251916437725985</v>
      </c>
      <c r="F89">
        <v>14.249178126244217</v>
      </c>
    </row>
    <row r="90" spans="2:6">
      <c r="B90">
        <v>87</v>
      </c>
      <c r="C90">
        <v>87</v>
      </c>
      <c r="D90">
        <v>2</v>
      </c>
      <c r="E90">
        <v>5.2230570137536381</v>
      </c>
      <c r="F90">
        <v>10.388096513906518</v>
      </c>
    </row>
    <row r="91" spans="2:6">
      <c r="B91">
        <v>88</v>
      </c>
      <c r="C91">
        <v>88</v>
      </c>
      <c r="D91">
        <v>2</v>
      </c>
      <c r="E91">
        <v>5.2209223837346777</v>
      </c>
      <c r="F91">
        <v>10.374341002043078</v>
      </c>
    </row>
    <row r="92" spans="2:6">
      <c r="B92">
        <v>89</v>
      </c>
      <c r="C92">
        <v>89</v>
      </c>
      <c r="D92">
        <v>1</v>
      </c>
      <c r="E92">
        <v>5.2187877537157172</v>
      </c>
      <c r="F92">
        <v>17.798170110901708</v>
      </c>
    </row>
    <row r="93" spans="2:6">
      <c r="B93">
        <v>90</v>
      </c>
      <c r="C93">
        <v>90</v>
      </c>
      <c r="D93">
        <v>10</v>
      </c>
      <c r="E93">
        <v>5.2166531236967577</v>
      </c>
      <c r="F93">
        <v>22.880407339039987</v>
      </c>
    </row>
    <row r="94" spans="2:6">
      <c r="B94">
        <v>91</v>
      </c>
      <c r="C94">
        <v>91</v>
      </c>
      <c r="D94">
        <v>9</v>
      </c>
      <c r="E94">
        <v>5.2145184936777973</v>
      </c>
      <c r="F94">
        <v>14.329870234707412</v>
      </c>
    </row>
    <row r="95" spans="2:6">
      <c r="B95">
        <v>92</v>
      </c>
      <c r="C95">
        <v>92</v>
      </c>
      <c r="D95">
        <v>2</v>
      </c>
      <c r="E95">
        <v>5.2123838636588369</v>
      </c>
      <c r="F95">
        <v>10.319410087495676</v>
      </c>
    </row>
    <row r="96" spans="2:6">
      <c r="B96">
        <v>93</v>
      </c>
      <c r="C96">
        <v>93</v>
      </c>
      <c r="D96">
        <v>1</v>
      </c>
      <c r="E96">
        <v>5.2102492336398774</v>
      </c>
      <c r="F96">
        <v>17.726198609365174</v>
      </c>
    </row>
    <row r="97" spans="2:6">
      <c r="B97">
        <v>94</v>
      </c>
      <c r="C97">
        <v>94</v>
      </c>
      <c r="D97">
        <v>9</v>
      </c>
      <c r="E97">
        <v>5.2081146036209169</v>
      </c>
      <c r="F97">
        <v>14.378394859272955</v>
      </c>
    </row>
    <row r="98" spans="2:6">
      <c r="B98">
        <v>95</v>
      </c>
      <c r="C98">
        <v>95</v>
      </c>
      <c r="D98">
        <v>9</v>
      </c>
      <c r="E98">
        <v>5.2059799736019565</v>
      </c>
      <c r="F98">
        <v>14.39458796070941</v>
      </c>
    </row>
    <row r="99" spans="2:6">
      <c r="B99">
        <v>96</v>
      </c>
      <c r="C99">
        <v>96</v>
      </c>
      <c r="D99">
        <v>6</v>
      </c>
      <c r="E99">
        <v>5.2038453435829961</v>
      </c>
      <c r="F99">
        <v>0.63386223693447752</v>
      </c>
    </row>
    <row r="100" spans="2:6">
      <c r="B100">
        <v>97</v>
      </c>
      <c r="C100">
        <v>97</v>
      </c>
      <c r="D100">
        <v>5</v>
      </c>
      <c r="E100">
        <v>5.2017107135640366</v>
      </c>
      <c r="F100">
        <v>4.0687211966512808E-2</v>
      </c>
    </row>
    <row r="101" spans="2:6">
      <c r="B101">
        <v>98</v>
      </c>
      <c r="C101">
        <v>98</v>
      </c>
      <c r="D101">
        <v>3</v>
      </c>
      <c r="E101">
        <v>5.1995760835450762</v>
      </c>
      <c r="F101">
        <v>4.8381349473034962</v>
      </c>
    </row>
    <row r="102" spans="2:6">
      <c r="B102">
        <v>99</v>
      </c>
      <c r="C102">
        <v>99</v>
      </c>
      <c r="D102">
        <v>6</v>
      </c>
      <c r="E102">
        <v>5.1974414535261158</v>
      </c>
      <c r="F102">
        <v>0.64410022051827387</v>
      </c>
    </row>
    <row r="103" spans="2:6">
      <c r="B103">
        <v>100</v>
      </c>
      <c r="C103">
        <v>100</v>
      </c>
      <c r="D103">
        <v>1</v>
      </c>
      <c r="E103">
        <v>5.1953068235071562</v>
      </c>
      <c r="F103">
        <v>17.600599343365705</v>
      </c>
    </row>
    <row r="104" spans="2:6">
      <c r="B104">
        <v>101</v>
      </c>
      <c r="C104">
        <v>101</v>
      </c>
      <c r="D104">
        <v>1</v>
      </c>
      <c r="E104">
        <v>5.1931721934881958</v>
      </c>
      <c r="F104">
        <v>17.582693044242607</v>
      </c>
    </row>
    <row r="105" spans="2:6">
      <c r="B105">
        <v>102</v>
      </c>
      <c r="C105">
        <v>102</v>
      </c>
      <c r="D105">
        <v>9</v>
      </c>
      <c r="E105">
        <v>5.1910375634692354</v>
      </c>
      <c r="F105">
        <v>14.508194842902379</v>
      </c>
    </row>
    <row r="106" spans="2:6">
      <c r="B106">
        <v>103</v>
      </c>
      <c r="C106">
        <v>103</v>
      </c>
      <c r="D106">
        <v>6</v>
      </c>
      <c r="E106">
        <v>5.188902933450275</v>
      </c>
      <c r="F106">
        <v>0.65787845136556911</v>
      </c>
    </row>
    <row r="107" spans="2:6">
      <c r="B107">
        <v>104</v>
      </c>
      <c r="C107">
        <v>104</v>
      </c>
      <c r="D107">
        <v>4</v>
      </c>
      <c r="E107">
        <v>5.1867683034313155</v>
      </c>
      <c r="F107">
        <v>1.4084190060292427</v>
      </c>
    </row>
    <row r="108" spans="2:6">
      <c r="B108">
        <v>105</v>
      </c>
      <c r="C108">
        <v>105</v>
      </c>
      <c r="D108">
        <v>8</v>
      </c>
      <c r="E108">
        <v>5.184633673412355</v>
      </c>
      <c r="F108">
        <v>7.9262875528836103</v>
      </c>
    </row>
    <row r="109" spans="2:6">
      <c r="B109">
        <v>106</v>
      </c>
      <c r="C109">
        <v>106</v>
      </c>
      <c r="D109">
        <v>8</v>
      </c>
      <c r="E109">
        <v>5.1824990433933946</v>
      </c>
      <c r="F109">
        <v>7.9383116404791361</v>
      </c>
    </row>
    <row r="110" spans="2:6">
      <c r="B110">
        <v>107</v>
      </c>
      <c r="C110">
        <v>107</v>
      </c>
      <c r="D110">
        <v>2</v>
      </c>
      <c r="E110">
        <v>5.1803644133744351</v>
      </c>
      <c r="F110">
        <v>10.114717801858514</v>
      </c>
    </row>
    <row r="111" spans="2:6">
      <c r="B111">
        <v>108</v>
      </c>
      <c r="C111">
        <v>108</v>
      </c>
      <c r="D111">
        <v>1</v>
      </c>
      <c r="E111">
        <v>5.1782297833554747</v>
      </c>
      <c r="F111">
        <v>17.457604122518738</v>
      </c>
    </row>
    <row r="112" spans="2:6">
      <c r="B112">
        <v>109</v>
      </c>
      <c r="C112">
        <v>109</v>
      </c>
      <c r="D112">
        <v>8</v>
      </c>
      <c r="E112">
        <v>5.1760951533365143</v>
      </c>
      <c r="F112">
        <v>7.9744385830095252</v>
      </c>
    </row>
    <row r="113" spans="2:6">
      <c r="B113">
        <v>110</v>
      </c>
      <c r="C113">
        <v>110</v>
      </c>
      <c r="D113">
        <v>2</v>
      </c>
      <c r="E113">
        <v>5.1739605233175539</v>
      </c>
      <c r="F113">
        <v>10.07402540357824</v>
      </c>
    </row>
    <row r="114" spans="2:6">
      <c r="B114">
        <v>111</v>
      </c>
      <c r="C114">
        <v>111</v>
      </c>
      <c r="D114">
        <v>10</v>
      </c>
      <c r="E114">
        <v>5.1718258932985943</v>
      </c>
      <c r="F114">
        <v>23.311265204621918</v>
      </c>
    </row>
    <row r="115" spans="2:6">
      <c r="B115">
        <v>112</v>
      </c>
      <c r="C115">
        <v>112</v>
      </c>
      <c r="D115">
        <v>7</v>
      </c>
      <c r="E115">
        <v>5.1696912632796339</v>
      </c>
      <c r="F115">
        <v>3.3500300717149023</v>
      </c>
    </row>
    <row r="116" spans="2:6">
      <c r="B116">
        <v>113</v>
      </c>
      <c r="C116">
        <v>113</v>
      </c>
      <c r="D116">
        <v>1</v>
      </c>
      <c r="E116">
        <v>5.1675566332606735</v>
      </c>
      <c r="F116">
        <v>17.368528291435041</v>
      </c>
    </row>
    <row r="117" spans="2:6">
      <c r="B117">
        <v>114</v>
      </c>
      <c r="C117">
        <v>114</v>
      </c>
      <c r="D117">
        <v>8</v>
      </c>
      <c r="E117">
        <v>5.165422003241714</v>
      </c>
      <c r="F117">
        <v>8.034832419706218</v>
      </c>
    </row>
    <row r="118" spans="2:6">
      <c r="B118">
        <v>115</v>
      </c>
      <c r="C118">
        <v>115</v>
      </c>
      <c r="D118">
        <v>5</v>
      </c>
      <c r="E118">
        <v>5.1632873732227536</v>
      </c>
      <c r="F118">
        <v>2.6662766253986815E-2</v>
      </c>
    </row>
    <row r="119" spans="2:6">
      <c r="B119">
        <v>116</v>
      </c>
      <c r="C119">
        <v>116</v>
      </c>
      <c r="D119">
        <v>5</v>
      </c>
      <c r="E119">
        <v>5.1611527432037931</v>
      </c>
      <c r="F119">
        <v>2.5970206642107696E-2</v>
      </c>
    </row>
    <row r="120" spans="2:6">
      <c r="B120">
        <v>117</v>
      </c>
      <c r="C120">
        <v>117</v>
      </c>
      <c r="D120">
        <v>1</v>
      </c>
      <c r="E120">
        <v>5.1590181131848327</v>
      </c>
      <c r="F120">
        <v>17.297431665799525</v>
      </c>
    </row>
    <row r="121" spans="2:6">
      <c r="B121">
        <v>118</v>
      </c>
      <c r="C121">
        <v>118</v>
      </c>
      <c r="D121">
        <v>5</v>
      </c>
      <c r="E121">
        <v>5.1568834831658732</v>
      </c>
      <c r="F121">
        <v>2.4612427290256818E-2</v>
      </c>
    </row>
    <row r="122" spans="2:6">
      <c r="B122">
        <v>119</v>
      </c>
      <c r="C122">
        <v>119</v>
      </c>
      <c r="D122">
        <v>6</v>
      </c>
      <c r="E122">
        <v>5.1547488531469128</v>
      </c>
      <c r="F122">
        <v>0.71444950125645923</v>
      </c>
    </row>
    <row r="123" spans="2:6">
      <c r="B123">
        <v>120</v>
      </c>
      <c r="C123">
        <v>120</v>
      </c>
      <c r="D123">
        <v>10</v>
      </c>
      <c r="E123">
        <v>5.1526142231279524</v>
      </c>
      <c r="F123">
        <v>23.497148869821423</v>
      </c>
    </row>
    <row r="124" spans="2:6">
      <c r="B124">
        <v>121</v>
      </c>
      <c r="C124">
        <v>121</v>
      </c>
      <c r="D124">
        <v>7</v>
      </c>
      <c r="E124">
        <v>5.1504795931089928</v>
      </c>
      <c r="F124">
        <v>3.4207257355062768</v>
      </c>
    </row>
    <row r="125" spans="2:6">
      <c r="B125">
        <v>122</v>
      </c>
      <c r="C125">
        <v>122</v>
      </c>
      <c r="D125">
        <v>9</v>
      </c>
      <c r="E125">
        <v>5.1483449630900324</v>
      </c>
      <c r="F125">
        <v>14.835246523353923</v>
      </c>
    </row>
    <row r="126" spans="2:6">
      <c r="B126">
        <v>123</v>
      </c>
      <c r="C126">
        <v>123</v>
      </c>
      <c r="D126">
        <v>7</v>
      </c>
      <c r="E126">
        <v>5.146210333071072</v>
      </c>
      <c r="F126">
        <v>3.4365361292124659</v>
      </c>
    </row>
  </sheetData>
  <pageMargins left="0.7" right="0.7" top="0.75" bottom="0.75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liczenie_aproksymacja" altText="Oblicz">
                <anchor moveWithCells="1">
                  <from>
                    <xdr:col>11</xdr:col>
                    <xdr:colOff>390525</xdr:colOff>
                    <xdr:row>2</xdr:row>
                    <xdr:rowOff>19050</xdr:rowOff>
                  </from>
                  <to>
                    <xdr:col>13</xdr:col>
                    <xdr:colOff>28575</xdr:colOff>
                    <xdr:row>3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" r:id="rId5" name="Button 2">
              <controlPr defaultSize="0" print="0" autoFill="0" autoPict="0" macro="[0]!clear123">
                <anchor moveWithCells="1">
                  <from>
                    <xdr:col>13</xdr:col>
                    <xdr:colOff>466725</xdr:colOff>
                    <xdr:row>2</xdr:row>
                    <xdr:rowOff>38100</xdr:rowOff>
                  </from>
                  <to>
                    <xdr:col>15</xdr:col>
                    <xdr:colOff>9525</xdr:colOff>
                    <xdr:row>3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069DB6F-FD32-470D-B7A1-5D07F0BB06D5}">
  <sheetPr codeName="Arkusz2"/>
  <dimension ref="A1:J27"/>
  <sheetViews>
    <sheetView zoomScale="130" zoomScaleNormal="130" workbookViewId="0">
      <selection activeCell="G2" sqref="G2"/>
    </sheetView>
  </sheetViews>
  <sheetFormatPr defaultRowHeight="14.25"/>
  <cols>
    <col min="1" max="1" width="8.25" customWidth="1"/>
    <col min="7" max="7" width="8.625" customWidth="1"/>
    <col min="8" max="8" width="9.375" bestFit="1" customWidth="1"/>
  </cols>
  <sheetData>
    <row r="1" spans="1:9" ht="23.25">
      <c r="A1" t="s">
        <v>0</v>
      </c>
      <c r="B1" t="s">
        <v>1</v>
      </c>
      <c r="C1" t="s">
        <v>2</v>
      </c>
      <c r="D1" t="s">
        <v>3</v>
      </c>
      <c r="F1" s="4" t="s">
        <v>4</v>
      </c>
      <c r="G1" s="5" cm="1">
        <f t="array" ref="G1">(7*SUM(B2:B8*C2:C8)-SUM(B2:B8)*SUM(C2:C8))/(7*SUM(B2:B8^2)-SUM(B2:B8)^2)</f>
        <v>0.17857142857142858</v>
      </c>
      <c r="H1" s="4" t="s">
        <v>5</v>
      </c>
      <c r="I1" s="7" cm="1">
        <f t="array" ref="I1">(SUM(B2:B8^2)*SUM(C2:C8)-SUM(B2:B8*C2:C8)*SUM(B2:B8))/(7*SUM(B2:B8^2)-SUM(B2:B8)^2)</f>
        <v>3.2857142857142856</v>
      </c>
    </row>
    <row r="2" spans="1:9" ht="20.25">
      <c r="A2">
        <v>0</v>
      </c>
      <c r="B2">
        <v>1</v>
      </c>
      <c r="C2">
        <v>4</v>
      </c>
      <c r="D2">
        <f>$G$1*B2+$I$1</f>
        <v>3.464285714285714</v>
      </c>
      <c r="G2" s="6" cm="1">
        <f t="array" ref="G2:H2">LINEST(C2:C8,B2:B8)</f>
        <v>0.17857142857142855</v>
      </c>
      <c r="H2" s="6">
        <v>3.2857142857142856</v>
      </c>
    </row>
    <row r="3" spans="1:9">
      <c r="A3">
        <v>1</v>
      </c>
      <c r="B3">
        <v>2</v>
      </c>
      <c r="C3">
        <v>2</v>
      </c>
      <c r="D3">
        <f t="shared" ref="D3:D8" si="0">$G$1*B3+$I$1</f>
        <v>3.6428571428571428</v>
      </c>
    </row>
    <row r="4" spans="1:9" ht="23.25">
      <c r="A4">
        <v>2</v>
      </c>
      <c r="B4">
        <v>3</v>
      </c>
      <c r="C4">
        <v>6</v>
      </c>
      <c r="D4">
        <f t="shared" si="0"/>
        <v>3.8214285714285712</v>
      </c>
      <c r="F4" s="3" t="s">
        <v>6</v>
      </c>
    </row>
    <row r="5" spans="1:9">
      <c r="A5">
        <v>3</v>
      </c>
      <c r="B5">
        <v>4</v>
      </c>
      <c r="C5">
        <v>2</v>
      </c>
      <c r="D5">
        <f t="shared" si="0"/>
        <v>4</v>
      </c>
    </row>
    <row r="6" spans="1:9">
      <c r="A6">
        <v>4</v>
      </c>
      <c r="B6">
        <v>5</v>
      </c>
      <c r="C6">
        <v>5</v>
      </c>
      <c r="D6">
        <f t="shared" si="0"/>
        <v>4.1785714285714288</v>
      </c>
    </row>
    <row r="7" spans="1:9">
      <c r="A7">
        <v>5</v>
      </c>
      <c r="B7">
        <v>6</v>
      </c>
      <c r="C7">
        <v>5</v>
      </c>
      <c r="D7">
        <f t="shared" si="0"/>
        <v>4.3571428571428568</v>
      </c>
    </row>
    <row r="8" spans="1:9">
      <c r="A8">
        <v>6</v>
      </c>
      <c r="B8">
        <v>7</v>
      </c>
      <c r="C8">
        <v>4</v>
      </c>
      <c r="D8">
        <f t="shared" si="0"/>
        <v>4.5357142857142856</v>
      </c>
    </row>
    <row r="14" spans="1:9">
      <c r="A14" s="1"/>
      <c r="B14" s="1"/>
    </row>
    <row r="22" spans="1:10">
      <c r="A22" s="2"/>
      <c r="B22" s="2"/>
      <c r="C22" s="2"/>
      <c r="D22" s="2"/>
      <c r="E22" s="2"/>
      <c r="F22" s="2"/>
      <c r="G22" s="2"/>
    </row>
    <row r="27" spans="1:10">
      <c r="A27" s="2"/>
      <c r="B27" s="2"/>
      <c r="C27" s="2"/>
      <c r="D27" s="2"/>
      <c r="E27" s="2"/>
      <c r="F27" s="2"/>
      <c r="G27" s="2"/>
      <c r="H27" s="2"/>
      <c r="I27" s="2"/>
      <c r="J27" s="2"/>
    </row>
  </sheetData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BE19D89-94A3-4F3A-81A6-8EB5FB30FAC2}">
  <sheetPr codeName="Arkusz3"/>
  <dimension ref="A1:J27"/>
  <sheetViews>
    <sheetView zoomScale="130" zoomScaleNormal="130" workbookViewId="0">
      <selection activeCell="I1" sqref="I1"/>
    </sheetView>
  </sheetViews>
  <sheetFormatPr defaultRowHeight="14.25"/>
  <cols>
    <col min="1" max="1" width="8.25" customWidth="1"/>
    <col min="7" max="7" width="8.625" customWidth="1"/>
    <col min="8" max="8" width="9.375" bestFit="1" customWidth="1"/>
  </cols>
  <sheetData>
    <row r="1" spans="1:9" ht="23.25">
      <c r="A1" t="s">
        <v>0</v>
      </c>
      <c r="B1" t="s">
        <v>1</v>
      </c>
      <c r="C1" t="s">
        <v>2</v>
      </c>
      <c r="D1" t="s">
        <v>3</v>
      </c>
      <c r="F1" s="4" t="s">
        <v>4</v>
      </c>
      <c r="G1" s="5">
        <v>0.17857126826261535</v>
      </c>
      <c r="H1" s="4" t="s">
        <v>5</v>
      </c>
      <c r="I1" s="7">
        <v>3.2857125872211541</v>
      </c>
    </row>
    <row r="2" spans="1:9" ht="20.25">
      <c r="A2">
        <v>0</v>
      </c>
      <c r="B2">
        <v>1</v>
      </c>
      <c r="C2">
        <v>4</v>
      </c>
      <c r="D2">
        <f>$G$1*B2+$I$1</f>
        <v>3.4642838554837696</v>
      </c>
      <c r="E2">
        <f>(D2-C2)^2</f>
        <v>0.28699178749533466</v>
      </c>
      <c r="G2" s="6" cm="1">
        <f t="array" ref="G2:H2">LINEST(C2:C8,B2:B8)</f>
        <v>0.17857142857142855</v>
      </c>
      <c r="H2" s="6">
        <v>3.2857142857142856</v>
      </c>
    </row>
    <row r="3" spans="1:9">
      <c r="A3">
        <v>1</v>
      </c>
      <c r="B3">
        <v>2</v>
      </c>
      <c r="C3">
        <v>2</v>
      </c>
      <c r="D3">
        <f t="shared" ref="D3:D8" si="0">$G$1*B3+$I$1</f>
        <v>3.6428551237463846</v>
      </c>
      <c r="E3">
        <f t="shared" ref="E3:E8" si="1">(D3-C3)^2</f>
        <v>2.6989729576197488</v>
      </c>
    </row>
    <row r="4" spans="1:9" ht="23.25">
      <c r="A4">
        <v>2</v>
      </c>
      <c r="B4">
        <v>3</v>
      </c>
      <c r="C4">
        <v>6</v>
      </c>
      <c r="D4">
        <f t="shared" si="0"/>
        <v>3.8214263920090001</v>
      </c>
      <c r="E4">
        <f t="shared" si="1"/>
        <v>4.7461829654349224</v>
      </c>
      <c r="F4" s="3" t="s">
        <v>6</v>
      </c>
    </row>
    <row r="5" spans="1:9">
      <c r="A5">
        <v>3</v>
      </c>
      <c r="B5">
        <v>4</v>
      </c>
      <c r="C5">
        <v>2</v>
      </c>
      <c r="D5">
        <f t="shared" si="0"/>
        <v>3.9999976602716156</v>
      </c>
      <c r="E5">
        <f t="shared" si="1"/>
        <v>3.9999906410919368</v>
      </c>
    </row>
    <row r="6" spans="1:9">
      <c r="A6">
        <v>4</v>
      </c>
      <c r="B6">
        <v>5</v>
      </c>
      <c r="C6">
        <v>5</v>
      </c>
      <c r="D6">
        <f t="shared" si="0"/>
        <v>4.1785689285342311</v>
      </c>
      <c r="E6">
        <f t="shared" si="1"/>
        <v>0.67474900516940106</v>
      </c>
    </row>
    <row r="7" spans="1:9">
      <c r="A7">
        <v>5</v>
      </c>
      <c r="B7">
        <v>6</v>
      </c>
      <c r="C7">
        <v>5</v>
      </c>
      <c r="D7">
        <f t="shared" si="0"/>
        <v>4.3571401967968466</v>
      </c>
      <c r="E7">
        <f t="shared" si="1"/>
        <v>0.41326872657439712</v>
      </c>
    </row>
    <row r="8" spans="1:9" ht="20.25">
      <c r="A8">
        <v>6</v>
      </c>
      <c r="B8">
        <v>7</v>
      </c>
      <c r="C8">
        <v>4</v>
      </c>
      <c r="D8">
        <f t="shared" si="0"/>
        <v>4.5357114650594621</v>
      </c>
      <c r="E8">
        <f t="shared" si="1"/>
        <v>0.28698677379615528</v>
      </c>
      <c r="F8" s="4"/>
      <c r="H8" s="4"/>
    </row>
    <row r="9" spans="1:9">
      <c r="E9" s="8">
        <f>SUM(E2:E8)</f>
        <v>13.107142857181897</v>
      </c>
    </row>
    <row r="14" spans="1:9">
      <c r="A14" s="1"/>
      <c r="B14" s="1"/>
    </row>
    <row r="22" spans="1:10">
      <c r="A22" s="2"/>
      <c r="B22" s="2"/>
      <c r="C22" s="2"/>
      <c r="D22" s="2"/>
      <c r="E22" s="2"/>
      <c r="F22" s="2"/>
      <c r="G22" s="2"/>
    </row>
    <row r="27" spans="1:10">
      <c r="A27" s="2"/>
      <c r="B27" s="2"/>
      <c r="C27" s="2"/>
      <c r="D27" s="2"/>
      <c r="E27" s="2"/>
      <c r="F27" s="2"/>
      <c r="G27" s="2"/>
      <c r="H27" s="2"/>
      <c r="I27" s="2"/>
      <c r="J27" s="2"/>
    </row>
  </sheetData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03F3313-DFB9-4B1C-AE82-531FA625A277}">
  <sheetPr codeName="Arkusz4"/>
  <dimension ref="A1:J42"/>
  <sheetViews>
    <sheetView zoomScale="95" zoomScaleNormal="95" workbookViewId="0">
      <selection activeCell="G2" sqref="G2"/>
    </sheetView>
  </sheetViews>
  <sheetFormatPr defaultRowHeight="14.25"/>
  <cols>
    <col min="1" max="1" width="8.25" customWidth="1"/>
    <col min="7" max="7" width="8.625" customWidth="1"/>
    <col min="8" max="8" width="9.375" bestFit="1" customWidth="1"/>
  </cols>
  <sheetData>
    <row r="1" spans="1:9" ht="23.25">
      <c r="A1" t="s">
        <v>0</v>
      </c>
      <c r="B1" t="s">
        <v>1</v>
      </c>
      <c r="C1" t="s">
        <v>2</v>
      </c>
      <c r="D1" t="s">
        <v>3</v>
      </c>
      <c r="E1" t="s">
        <v>7</v>
      </c>
      <c r="F1" s="4" t="s">
        <v>4</v>
      </c>
      <c r="G1" s="5">
        <v>7.2469229545230732E-2</v>
      </c>
      <c r="H1" s="4" t="s">
        <v>5</v>
      </c>
      <c r="I1" s="7">
        <v>3.4224127669253686</v>
      </c>
    </row>
    <row r="2" spans="1:9" ht="20.25">
      <c r="A2">
        <v>0</v>
      </c>
      <c r="B2">
        <v>1</v>
      </c>
      <c r="C2">
        <v>4</v>
      </c>
      <c r="D2">
        <f>$G$1*B2+$I$1</f>
        <v>3.4948819964705993</v>
      </c>
      <c r="E2">
        <f>(D2-C2)^2</f>
        <v>0.25514419748952771</v>
      </c>
      <c r="G2" s="6" cm="1">
        <f t="array" ref="G2:H2">LINEST(C2:C40,B2:B40)</f>
        <v>7.2469635627530407E-2</v>
      </c>
      <c r="H2" s="6">
        <v>3.4224021592442631</v>
      </c>
    </row>
    <row r="3" spans="1:9">
      <c r="A3">
        <v>1</v>
      </c>
      <c r="B3">
        <v>2</v>
      </c>
      <c r="C3">
        <v>2</v>
      </c>
      <c r="D3">
        <f t="shared" ref="D3:D40" si="0">$G$1*B3+$I$1</f>
        <v>3.56735122601583</v>
      </c>
      <c r="E3">
        <f t="shared" ref="E3:E40" si="1">(D3-C3)^2</f>
        <v>2.4565898656933256</v>
      </c>
    </row>
    <row r="4" spans="1:9" ht="23.25">
      <c r="A4">
        <v>2</v>
      </c>
      <c r="B4">
        <v>3</v>
      </c>
      <c r="C4">
        <v>6</v>
      </c>
      <c r="D4">
        <f t="shared" si="0"/>
        <v>3.6398204555610607</v>
      </c>
      <c r="E4">
        <f t="shared" si="1"/>
        <v>5.5704474819879994</v>
      </c>
      <c r="F4" s="3" t="s">
        <v>6</v>
      </c>
    </row>
    <row r="5" spans="1:9">
      <c r="A5">
        <v>3</v>
      </c>
      <c r="B5">
        <v>4</v>
      </c>
      <c r="C5">
        <v>2</v>
      </c>
      <c r="D5">
        <f t="shared" si="0"/>
        <v>3.7122896851062914</v>
      </c>
      <c r="E5">
        <f t="shared" si="1"/>
        <v>2.9319359657214026</v>
      </c>
    </row>
    <row r="6" spans="1:9">
      <c r="A6">
        <v>4</v>
      </c>
      <c r="B6">
        <v>5</v>
      </c>
      <c r="C6">
        <v>5</v>
      </c>
      <c r="D6">
        <f t="shared" si="0"/>
        <v>3.7847589146515221</v>
      </c>
      <c r="E6">
        <f t="shared" si="1"/>
        <v>1.4768108955189465</v>
      </c>
    </row>
    <row r="7" spans="1:9">
      <c r="A7">
        <v>5</v>
      </c>
      <c r="B7">
        <v>6</v>
      </c>
      <c r="C7">
        <v>5</v>
      </c>
      <c r="D7">
        <f t="shared" si="0"/>
        <v>3.8572281441967529</v>
      </c>
      <c r="E7">
        <f t="shared" si="1"/>
        <v>1.3059275144159974</v>
      </c>
    </row>
    <row r="8" spans="1:9" ht="20.25">
      <c r="A8">
        <v>6</v>
      </c>
      <c r="B8">
        <v>7</v>
      </c>
      <c r="C8">
        <v>4</v>
      </c>
      <c r="D8">
        <f t="shared" si="0"/>
        <v>3.9296973737419836</v>
      </c>
      <c r="E8">
        <f t="shared" si="1"/>
        <v>4.9424592587743402E-3</v>
      </c>
      <c r="F8" s="4"/>
      <c r="H8" s="4"/>
    </row>
    <row r="9" spans="1:9">
      <c r="A9">
        <v>7</v>
      </c>
      <c r="B9">
        <v>8</v>
      </c>
      <c r="C9">
        <v>3</v>
      </c>
      <c r="D9">
        <f t="shared" si="0"/>
        <v>4.0021666032872147</v>
      </c>
      <c r="E9">
        <f t="shared" si="1"/>
        <v>1.0043379007442337</v>
      </c>
    </row>
    <row r="10" spans="1:9">
      <c r="A10">
        <v>8</v>
      </c>
      <c r="B10">
        <v>9</v>
      </c>
      <c r="C10">
        <v>7</v>
      </c>
      <c r="D10">
        <f t="shared" si="0"/>
        <v>4.0746358328324455</v>
      </c>
      <c r="E10">
        <f t="shared" si="1"/>
        <v>8.5577555105479206</v>
      </c>
    </row>
    <row r="11" spans="1:9">
      <c r="A11">
        <v>9</v>
      </c>
      <c r="B11">
        <v>10</v>
      </c>
      <c r="C11">
        <v>6</v>
      </c>
      <c r="D11">
        <f t="shared" si="0"/>
        <v>4.1471050623776762</v>
      </c>
      <c r="E11">
        <f t="shared" si="1"/>
        <v>3.4332196498664351</v>
      </c>
    </row>
    <row r="12" spans="1:9">
      <c r="A12">
        <v>10</v>
      </c>
      <c r="B12">
        <v>11</v>
      </c>
      <c r="C12">
        <v>4</v>
      </c>
      <c r="D12">
        <f t="shared" si="0"/>
        <v>4.2195742919229069</v>
      </c>
      <c r="E12">
        <f t="shared" si="1"/>
        <v>4.8212869673445936E-2</v>
      </c>
    </row>
    <row r="13" spans="1:9">
      <c r="A13">
        <v>11</v>
      </c>
      <c r="B13">
        <v>12</v>
      </c>
      <c r="C13">
        <v>5</v>
      </c>
      <c r="D13">
        <f t="shared" si="0"/>
        <v>4.2920435214681376</v>
      </c>
      <c r="E13">
        <f t="shared" si="1"/>
        <v>0.50120237549523527</v>
      </c>
    </row>
    <row r="14" spans="1:9">
      <c r="A14">
        <v>12</v>
      </c>
      <c r="B14">
        <v>13</v>
      </c>
      <c r="C14">
        <v>0</v>
      </c>
      <c r="D14">
        <f t="shared" si="0"/>
        <v>4.3645127510133683</v>
      </c>
      <c r="E14">
        <f t="shared" si="1"/>
        <v>19.048971553758282</v>
      </c>
    </row>
    <row r="15" spans="1:9">
      <c r="A15">
        <v>13</v>
      </c>
      <c r="B15">
        <v>14</v>
      </c>
      <c r="C15">
        <v>9</v>
      </c>
      <c r="D15">
        <f t="shared" si="0"/>
        <v>4.436981980558599</v>
      </c>
      <c r="E15">
        <f t="shared" si="1"/>
        <v>20.821133445746927</v>
      </c>
    </row>
    <row r="16" spans="1:9">
      <c r="A16">
        <v>14</v>
      </c>
      <c r="B16">
        <v>15</v>
      </c>
      <c r="C16">
        <v>7</v>
      </c>
      <c r="D16">
        <f t="shared" si="0"/>
        <v>4.5094512101038298</v>
      </c>
      <c r="E16">
        <f t="shared" si="1"/>
        <v>6.202833274853278</v>
      </c>
    </row>
    <row r="17" spans="1:10">
      <c r="A17">
        <v>15</v>
      </c>
      <c r="B17">
        <v>16</v>
      </c>
      <c r="C17">
        <v>2</v>
      </c>
      <c r="D17">
        <f t="shared" si="0"/>
        <v>4.5819204396490605</v>
      </c>
      <c r="E17">
        <f t="shared" si="1"/>
        <v>6.6663131566775977</v>
      </c>
    </row>
    <row r="18" spans="1:10">
      <c r="A18">
        <v>16</v>
      </c>
      <c r="B18">
        <v>17</v>
      </c>
      <c r="C18">
        <v>5</v>
      </c>
      <c r="D18">
        <f t="shared" si="0"/>
        <v>4.6543896691942912</v>
      </c>
      <c r="E18">
        <f t="shared" si="1"/>
        <v>0.11944650075963147</v>
      </c>
    </row>
    <row r="19" spans="1:10">
      <c r="A19">
        <v>17</v>
      </c>
      <c r="B19">
        <v>18</v>
      </c>
      <c r="C19">
        <v>3</v>
      </c>
      <c r="D19">
        <f t="shared" si="0"/>
        <v>4.7268588987395219</v>
      </c>
      <c r="E19">
        <f t="shared" si="1"/>
        <v>2.9820416561558742</v>
      </c>
    </row>
    <row r="20" spans="1:10">
      <c r="A20">
        <v>18</v>
      </c>
      <c r="B20">
        <v>19</v>
      </c>
      <c r="C20">
        <v>3</v>
      </c>
      <c r="D20">
        <f t="shared" si="0"/>
        <v>4.7993281282847526</v>
      </c>
      <c r="E20">
        <f t="shared" si="1"/>
        <v>3.2375817132367111</v>
      </c>
    </row>
    <row r="21" spans="1:10">
      <c r="A21">
        <v>19</v>
      </c>
      <c r="B21">
        <v>20</v>
      </c>
      <c r="C21">
        <v>2</v>
      </c>
      <c r="D21">
        <f t="shared" si="0"/>
        <v>4.8717973578299834</v>
      </c>
      <c r="E21">
        <f t="shared" si="1"/>
        <v>8.2472200644392739</v>
      </c>
    </row>
    <row r="22" spans="1:10">
      <c r="A22">
        <v>20</v>
      </c>
      <c r="B22">
        <v>21</v>
      </c>
      <c r="C22" s="9">
        <v>3</v>
      </c>
      <c r="D22">
        <f t="shared" si="0"/>
        <v>4.9442665873752141</v>
      </c>
      <c r="E22">
        <f t="shared" si="1"/>
        <v>3.7801725627836609</v>
      </c>
      <c r="F22" s="2"/>
      <c r="G22" s="2"/>
    </row>
    <row r="23" spans="1:10">
      <c r="A23">
        <v>21</v>
      </c>
      <c r="B23">
        <v>22</v>
      </c>
      <c r="C23">
        <v>6</v>
      </c>
      <c r="D23">
        <f t="shared" si="0"/>
        <v>5.0167358169204448</v>
      </c>
      <c r="E23">
        <f t="shared" si="1"/>
        <v>0.96680845372710511</v>
      </c>
    </row>
    <row r="24" spans="1:10">
      <c r="A24">
        <v>22</v>
      </c>
      <c r="B24">
        <v>23</v>
      </c>
      <c r="C24">
        <v>3</v>
      </c>
      <c r="D24">
        <f t="shared" si="0"/>
        <v>5.0892050464656755</v>
      </c>
      <c r="E24">
        <f t="shared" si="1"/>
        <v>4.3647777261776453</v>
      </c>
    </row>
    <row r="25" spans="1:10">
      <c r="A25">
        <v>23</v>
      </c>
      <c r="B25">
        <v>24</v>
      </c>
      <c r="C25">
        <v>0</v>
      </c>
      <c r="D25">
        <f t="shared" si="0"/>
        <v>5.1616742760109062</v>
      </c>
      <c r="E25">
        <f t="shared" si="1"/>
        <v>26.642881331632712</v>
      </c>
    </row>
    <row r="26" spans="1:10">
      <c r="A26">
        <v>24</v>
      </c>
      <c r="B26">
        <v>25</v>
      </c>
      <c r="C26">
        <v>4</v>
      </c>
      <c r="D26">
        <f t="shared" si="0"/>
        <v>5.2341435055561369</v>
      </c>
      <c r="E26">
        <f t="shared" si="1"/>
        <v>1.5231101923063906</v>
      </c>
    </row>
    <row r="27" spans="1:10">
      <c r="A27">
        <v>25</v>
      </c>
      <c r="B27">
        <v>26</v>
      </c>
      <c r="C27" s="9">
        <v>3</v>
      </c>
      <c r="D27">
        <f t="shared" si="0"/>
        <v>5.3066127351013677</v>
      </c>
      <c r="E27">
        <f t="shared" si="1"/>
        <v>5.3204623097318118</v>
      </c>
      <c r="F27" s="2"/>
      <c r="G27" s="2"/>
      <c r="H27" s="2"/>
      <c r="I27" s="2"/>
      <c r="J27" s="2"/>
    </row>
    <row r="28" spans="1:10">
      <c r="A28">
        <v>26</v>
      </c>
      <c r="B28">
        <v>27</v>
      </c>
      <c r="C28">
        <v>5</v>
      </c>
      <c r="D28">
        <f t="shared" si="0"/>
        <v>5.3790819646465984</v>
      </c>
      <c r="E28">
        <f t="shared" si="1"/>
        <v>0.14370313592032485</v>
      </c>
    </row>
    <row r="29" spans="1:10">
      <c r="A29">
        <v>27</v>
      </c>
      <c r="B29">
        <v>28</v>
      </c>
      <c r="C29">
        <v>6</v>
      </c>
      <c r="D29">
        <f t="shared" si="0"/>
        <v>5.4515511941918291</v>
      </c>
      <c r="E29">
        <f t="shared" si="1"/>
        <v>0.30079609259240875</v>
      </c>
    </row>
    <row r="30" spans="1:10">
      <c r="A30">
        <v>28</v>
      </c>
      <c r="B30">
        <v>29</v>
      </c>
      <c r="C30">
        <v>3</v>
      </c>
      <c r="D30">
        <f t="shared" si="0"/>
        <v>5.5240204237370598</v>
      </c>
      <c r="E30">
        <f t="shared" si="1"/>
        <v>6.3706790994418068</v>
      </c>
    </row>
    <row r="31" spans="1:10">
      <c r="A31">
        <v>29</v>
      </c>
      <c r="B31">
        <v>30</v>
      </c>
      <c r="C31">
        <v>6</v>
      </c>
      <c r="D31">
        <f t="shared" si="0"/>
        <v>5.5964896532822905</v>
      </c>
      <c r="E31">
        <f t="shared" si="1"/>
        <v>0.1628205999082461</v>
      </c>
    </row>
    <row r="32" spans="1:10">
      <c r="A32">
        <v>30</v>
      </c>
      <c r="B32">
        <v>31</v>
      </c>
      <c r="C32">
        <v>8</v>
      </c>
      <c r="D32">
        <f t="shared" si="0"/>
        <v>5.6689588828275213</v>
      </c>
      <c r="E32">
        <f t="shared" si="1"/>
        <v>5.4337526899487179</v>
      </c>
    </row>
    <row r="33" spans="1:5">
      <c r="A33">
        <v>31</v>
      </c>
      <c r="B33">
        <v>32</v>
      </c>
      <c r="C33">
        <v>6</v>
      </c>
      <c r="D33">
        <f t="shared" si="0"/>
        <v>5.741428112372752</v>
      </c>
      <c r="E33">
        <f t="shared" si="1"/>
        <v>6.6859421071118183E-2</v>
      </c>
    </row>
    <row r="34" spans="1:5">
      <c r="A34">
        <v>32</v>
      </c>
      <c r="B34">
        <v>33</v>
      </c>
      <c r="C34">
        <v>12</v>
      </c>
      <c r="D34">
        <f t="shared" si="0"/>
        <v>5.8138973419179827</v>
      </c>
      <c r="E34">
        <f t="shared" si="1"/>
        <v>38.267866096329399</v>
      </c>
    </row>
    <row r="35" spans="1:5">
      <c r="A35">
        <v>33</v>
      </c>
      <c r="B35">
        <v>34</v>
      </c>
      <c r="C35">
        <v>13</v>
      </c>
      <c r="D35">
        <f t="shared" si="0"/>
        <v>5.8863665714632134</v>
      </c>
      <c r="E35">
        <f t="shared" si="1"/>
        <v>50.603780555596039</v>
      </c>
    </row>
    <row r="36" spans="1:5">
      <c r="A36">
        <v>34</v>
      </c>
      <c r="B36">
        <v>35</v>
      </c>
      <c r="C36">
        <v>15</v>
      </c>
      <c r="D36">
        <f t="shared" si="0"/>
        <v>5.9588358010084441</v>
      </c>
      <c r="E36">
        <f t="shared" si="1"/>
        <v>81.742650073126626</v>
      </c>
    </row>
    <row r="37" spans="1:5">
      <c r="A37">
        <v>35</v>
      </c>
      <c r="B37">
        <v>36</v>
      </c>
      <c r="C37">
        <v>7</v>
      </c>
      <c r="D37">
        <f t="shared" si="0"/>
        <v>6.0313050305536748</v>
      </c>
      <c r="E37">
        <f t="shared" si="1"/>
        <v>0.93836994383061678</v>
      </c>
    </row>
    <row r="38" spans="1:5">
      <c r="A38">
        <v>36</v>
      </c>
      <c r="B38">
        <v>37</v>
      </c>
      <c r="C38">
        <v>4</v>
      </c>
      <c r="D38">
        <f t="shared" si="0"/>
        <v>6.1037742600989056</v>
      </c>
      <c r="E38">
        <f t="shared" si="1"/>
        <v>4.4258661374546975</v>
      </c>
    </row>
    <row r="39" spans="1:5">
      <c r="A39">
        <v>37</v>
      </c>
      <c r="B39">
        <v>38</v>
      </c>
      <c r="C39">
        <v>2</v>
      </c>
      <c r="D39">
        <f t="shared" si="0"/>
        <v>6.1762434896441363</v>
      </c>
      <c r="E39">
        <f t="shared" si="1"/>
        <v>17.441009684795034</v>
      </c>
    </row>
    <row r="40" spans="1:5">
      <c r="A40">
        <v>38</v>
      </c>
      <c r="B40">
        <v>39</v>
      </c>
      <c r="C40">
        <v>0</v>
      </c>
      <c r="D40">
        <f t="shared" si="0"/>
        <v>6.248712719189367</v>
      </c>
      <c r="E40">
        <f t="shared" si="1"/>
        <v>39.046410646958975</v>
      </c>
    </row>
    <row r="41" spans="1:5">
      <c r="E41" s="8">
        <f>SUM(E2:E40)</f>
        <v>382.41484480537417</v>
      </c>
    </row>
    <row r="42" spans="1:5">
      <c r="D42" t="s">
        <v>8</v>
      </c>
      <c r="E42">
        <f>MAX(E2:E40)</f>
        <v>81.742650073126626</v>
      </c>
    </row>
  </sheetData>
  <pageMargins left="0.7" right="0.7" top="0.75" bottom="0.75" header="0.3" footer="0.3"/>
  <drawing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kument" ma:contentTypeID="0x0101000AA8BDC297D8B34DA33557CA123CF3AE" ma:contentTypeVersion="5" ma:contentTypeDescription="Utwórz nowy dokument." ma:contentTypeScope="" ma:versionID="ba7cd62f881a1750201ab321b3001c10">
  <xsd:schema xmlns:xsd="http://www.w3.org/2001/XMLSchema" xmlns:xs="http://www.w3.org/2001/XMLSchema" xmlns:p="http://schemas.microsoft.com/office/2006/metadata/properties" xmlns:ns3="5a476dd0-ba3d-48d6-b8a0-5776c33e5439" targetNamespace="http://schemas.microsoft.com/office/2006/metadata/properties" ma:root="true" ma:fieldsID="0931b027d1573faa9ee861670726064a" ns3:_="">
    <xsd:import namespace="5a476dd0-ba3d-48d6-b8a0-5776c33e5439"/>
    <xsd:element name="properties">
      <xsd:complexType>
        <xsd:sequence>
          <xsd:element name="documentManagement">
            <xsd:complexType>
              <xsd:all>
                <xsd:element ref="ns3:MediaServiceMetadata" minOccurs="0"/>
                <xsd:element ref="ns3:MediaServiceFastMetadata" minOccurs="0"/>
                <xsd:element ref="ns3:MediaServiceObjectDetectorVersions" minOccurs="0"/>
                <xsd:element ref="ns3:MediaServiceSearchProperties" minOccurs="0"/>
                <xsd:element ref="ns3:_activity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5a476dd0-ba3d-48d6-b8a0-5776c33e5439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ObjectDetectorVersions" ma:index="10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11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_activity" ma:index="12" nillable="true" ma:displayName="_activity" ma:hidden="true" ma:internalName="_activity">
      <xsd:simpleType>
        <xsd:restriction base="dms:Note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yp zawartości"/>
        <xsd:element ref="dc:title" minOccurs="0" maxOccurs="1" ma:index="4" ma:displayName="Tytuł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_activity xmlns="5a476dd0-ba3d-48d6-b8a0-5776c33e5439" xsi:nil="true"/>
  </documentManagement>
</p:properties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0F75D9F2-725C-43BA-B742-8E48AD192647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5a476dd0-ba3d-48d6-b8a0-5776c33e5439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AEB5D982-D912-4727-83FF-F2CBC0B0B4EA}">
  <ds:schemaRefs>
    <ds:schemaRef ds:uri="http://schemas.microsoft.com/office/2006/metadata/properties"/>
    <ds:schemaRef ds:uri="http://schemas.microsoft.com/office/infopath/2007/PartnerControls"/>
    <ds:schemaRef ds:uri="5a476dd0-ba3d-48d6-b8a0-5776c33e5439"/>
  </ds:schemaRefs>
</ds:datastoreItem>
</file>

<file path=customXml/itemProps3.xml><?xml version="1.0" encoding="utf-8"?>
<ds:datastoreItem xmlns:ds="http://schemas.openxmlformats.org/officeDocument/2006/customXml" ds:itemID="{F51BA928-9FDA-4576-91B5-B277A0996BAD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Arkusze</vt:lpstr>
      </vt:variant>
      <vt:variant>
        <vt:i4>4</vt:i4>
      </vt:variant>
    </vt:vector>
  </HeadingPairs>
  <TitlesOfParts>
    <vt:vector size="4" baseType="lpstr">
      <vt:lpstr>zadanie</vt:lpstr>
      <vt:lpstr>Arkusz1</vt:lpstr>
      <vt:lpstr>Arkusz2</vt:lpstr>
      <vt:lpstr>Arkusz3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Pankowski Andrzej</dc:creator>
  <cp:keywords/>
  <dc:description/>
  <cp:lastModifiedBy>Unhuman JR</cp:lastModifiedBy>
  <cp:revision/>
  <dcterms:created xsi:type="dcterms:W3CDTF">2025-03-17T21:53:06Z</dcterms:created>
  <dcterms:modified xsi:type="dcterms:W3CDTF">2025-05-16T18:03:04Z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0x0101000AA8BDC297D8B34DA33557CA123CF3AE</vt:lpwstr>
  </property>
</Properties>
</file>