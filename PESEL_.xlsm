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\\eos\STUDENTs$\335776\Desktop\"/>
    </mc:Choice>
  </mc:AlternateContent>
  <xr:revisionPtr revIDLastSave="0" documentId="13_ncr:1_{84639D33-94C4-4B26-8CC9-EA4BDEC5F4F2}" xr6:coauthVersionLast="47" xr6:coauthVersionMax="47" xr10:uidLastSave="{00000000-0000-0000-0000-000000000000}"/>
  <bookViews>
    <workbookView xWindow="38280" yWindow="-120" windowWidth="38640" windowHeight="21240" activeTab="1" xr2:uid="{00000000-000D-0000-FFFF-FFFF00000000}"/>
  </bookViews>
  <sheets>
    <sheet name="Arkusz1" sheetId="1" r:id="rId1"/>
    <sheet name="Pesel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4" l="1"/>
  <c r="G17" i="4" s="1"/>
  <c r="G18" i="4" s="1"/>
  <c r="G20" i="4"/>
  <c r="C16" i="4" s="1"/>
  <c r="C6" i="4" l="1"/>
  <c r="I13" i="4"/>
  <c r="H20" i="4"/>
  <c r="C15" i="4" s="1"/>
</calcChain>
</file>

<file path=xl/sharedStrings.xml><?xml version="1.0" encoding="utf-8"?>
<sst xmlns="http://schemas.openxmlformats.org/spreadsheetml/2006/main" count="46" uniqueCount="30">
  <si>
    <t>płeć</t>
  </si>
  <si>
    <t>data urodzenia</t>
  </si>
  <si>
    <t>nr porządkowy</t>
  </si>
  <si>
    <t>kontrolna</t>
  </si>
  <si>
    <t>SUMA KONTROLNA</t>
  </si>
  <si>
    <t>DATA URODZENIA</t>
  </si>
  <si>
    <t>ROK</t>
  </si>
  <si>
    <t>MIESIĄC</t>
  </si>
  <si>
    <t>DZIEŃ</t>
  </si>
  <si>
    <t>marzec</t>
  </si>
  <si>
    <t>07</t>
  </si>
  <si>
    <t>MSC</t>
  </si>
  <si>
    <t>03</t>
  </si>
  <si>
    <t>DATA</t>
  </si>
  <si>
    <t>05-10-2021</t>
  </si>
  <si>
    <t>PŁEĆ</t>
  </si>
  <si>
    <t>K</t>
  </si>
  <si>
    <t>Kobieta</t>
  </si>
  <si>
    <t>styczeń</t>
  </si>
  <si>
    <t>14-02-1914</t>
  </si>
  <si>
    <t>Waga:</t>
  </si>
  <si>
    <t>Suma K</t>
  </si>
  <si>
    <t>L.Kontr</t>
  </si>
  <si>
    <t>Płec:</t>
  </si>
  <si>
    <t>02</t>
  </si>
  <si>
    <t>12</t>
  </si>
  <si>
    <t>Mod</t>
  </si>
  <si>
    <t>C.Kont</t>
  </si>
  <si>
    <t>RAMKA 1</t>
  </si>
  <si>
    <t>lipiec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</si>
</sst>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zcionka tekstu podstawowego"/>
      <family val="2"/>
      <charset val="238"/>
    </font>
    <font>
      <sz val="18"/>
      <color theme="1"/>
      <name val="Czcionka tekstu podstawowego"/>
      <family val="2"/>
      <charset val="238"/>
    </font>
    <font>
      <sz val="48"/>
      <color theme="1"/>
      <name val="Czcionka tekstu podstawowego"/>
      <family val="2"/>
      <charset val="238"/>
    </font>
    <font>
      <b/>
      <sz val="11"/>
      <color theme="1"/>
      <name val="Czcionka tekstu podstawowego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0" xfId="0" applyAlignment="1">
      <alignment horizontal="right"/>
    </xf>
    <xf numFmtId="0" fontId="0" fillId="2" borderId="5" xfId="0" applyFill="1" applyBorder="1"/>
    <xf numFmtId="0" fontId="0" fillId="0" borderId="0" xfId="0" quotePrefix="1" applyAlignment="1">
      <alignment horizontal="right"/>
    </xf>
    <xf numFmtId="0" fontId="0" fillId="3" borderId="0" xfId="0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2" borderId="5" xfId="0" applyFill="1" applyBorder="1" applyAlignment="1">
      <alignment horizontal="right"/>
    </xf>
    <xf numFmtId="0" fontId="0" fillId="2" borderId="6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1" xfId="0" applyBorder="1"/>
    <xf numFmtId="0" fontId="0" fillId="0" borderId="10" xfId="0" applyBorder="1"/>
    <xf numFmtId="0" fontId="0" fillId="0" borderId="11" xfId="0" applyBorder="1" applyAlignment="1">
      <alignment horizontal="right"/>
    </xf>
    <xf numFmtId="0" fontId="0" fillId="0" borderId="11" xfId="0" quotePrefix="1" applyBorder="1" applyAlignment="1">
      <alignment horizontal="right"/>
    </xf>
    <xf numFmtId="0" fontId="0" fillId="0" borderId="12" xfId="0" applyBorder="1"/>
    <xf numFmtId="0" fontId="0" fillId="0" borderId="13" xfId="0" applyBorder="1"/>
    <xf numFmtId="14" fontId="0" fillId="2" borderId="14" xfId="0" applyNumberFormat="1" applyFill="1" applyBorder="1"/>
    <xf numFmtId="0" fontId="0" fillId="0" borderId="15" xfId="0" quotePrefix="1" applyBorder="1" applyAlignment="1">
      <alignment horizontal="right"/>
    </xf>
  </cellXfs>
  <cellStyles count="1">
    <cellStyle name="Normalny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20</xdr:row>
          <xdr:rowOff>57149</xdr:rowOff>
        </xdr:from>
        <xdr:to>
          <xdr:col>2</xdr:col>
          <xdr:colOff>514351</xdr:colOff>
          <xdr:row>22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Oblicz ramke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266700</xdr:colOff>
      <xdr:row>3</xdr:row>
      <xdr:rowOff>66675</xdr:rowOff>
    </xdr:from>
    <xdr:to>
      <xdr:col>30</xdr:col>
      <xdr:colOff>353374</xdr:colOff>
      <xdr:row>15</xdr:row>
      <xdr:rowOff>57454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A5541FA5-6DE9-F6C2-6255-F553C1CC6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1219200"/>
          <a:ext cx="6801799" cy="2181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K16"/>
  <sheetViews>
    <sheetView workbookViewId="0">
      <selection activeCell="K13" sqref="K13"/>
    </sheetView>
  </sheetViews>
  <sheetFormatPr defaultColWidth="5.875" defaultRowHeight="14.25"/>
  <cols>
    <col min="1" max="2" width="11.625" bestFit="1" customWidth="1"/>
    <col min="3" max="3" width="9.25" bestFit="1" customWidth="1"/>
    <col min="4" max="4" width="9.875" customWidth="1"/>
    <col min="5" max="6" width="7.125" bestFit="1" customWidth="1"/>
    <col min="7" max="7" width="5.875" customWidth="1"/>
    <col min="11" max="11" width="9" customWidth="1"/>
  </cols>
  <sheetData>
    <row r="1" spans="1:11" ht="15" thickBo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</row>
    <row r="2" spans="1:11" s="1" customFormat="1" ht="60" thickBot="1">
      <c r="A2" s="3">
        <v>3</v>
      </c>
      <c r="B2" s="4">
        <v>3</v>
      </c>
      <c r="C2" s="4">
        <v>3</v>
      </c>
      <c r="D2" s="4">
        <v>1</v>
      </c>
      <c r="E2" s="4">
        <v>0</v>
      </c>
      <c r="F2" s="5">
        <v>1</v>
      </c>
      <c r="G2" s="7">
        <v>1</v>
      </c>
      <c r="H2" s="8">
        <v>1</v>
      </c>
      <c r="I2" s="9">
        <v>1</v>
      </c>
      <c r="J2" s="6">
        <v>6</v>
      </c>
      <c r="K2" s="6">
        <v>7</v>
      </c>
    </row>
    <row r="3" spans="1:11" ht="15.75" thickBot="1">
      <c r="A3" s="16" t="s">
        <v>1</v>
      </c>
      <c r="B3" s="17"/>
      <c r="C3" s="17"/>
      <c r="D3" s="17"/>
      <c r="E3" s="17"/>
      <c r="F3" s="18"/>
      <c r="G3" s="16" t="s">
        <v>2</v>
      </c>
      <c r="H3" s="17"/>
      <c r="I3" s="18"/>
      <c r="J3" s="10" t="s">
        <v>0</v>
      </c>
      <c r="K3" s="11" t="s">
        <v>3</v>
      </c>
    </row>
    <row r="6" spans="1:11">
      <c r="A6" s="19" t="s">
        <v>4</v>
      </c>
      <c r="B6" s="19"/>
      <c r="C6" s="13"/>
    </row>
    <row r="8" spans="1:11">
      <c r="A8" s="20" t="s">
        <v>5</v>
      </c>
      <c r="B8" s="20"/>
    </row>
    <row r="9" spans="1:11">
      <c r="B9" t="s">
        <v>6</v>
      </c>
      <c r="C9" s="13"/>
      <c r="D9" s="12">
        <v>1980</v>
      </c>
    </row>
    <row r="10" spans="1:11">
      <c r="B10" t="s">
        <v>7</v>
      </c>
      <c r="C10" s="13"/>
      <c r="D10" s="12" t="s">
        <v>9</v>
      </c>
    </row>
    <row r="11" spans="1:11">
      <c r="B11" t="s">
        <v>8</v>
      </c>
      <c r="C11" s="13"/>
      <c r="D11" s="14" t="s">
        <v>10</v>
      </c>
    </row>
    <row r="12" spans="1:11">
      <c r="B12" t="s">
        <v>11</v>
      </c>
      <c r="C12" s="13"/>
      <c r="D12" s="14" t="s">
        <v>12</v>
      </c>
    </row>
    <row r="13" spans="1:11">
      <c r="B13" t="s">
        <v>13</v>
      </c>
      <c r="C13" s="13"/>
      <c r="D13" s="14" t="s">
        <v>14</v>
      </c>
    </row>
    <row r="14" spans="1:11">
      <c r="C14" s="15"/>
      <c r="D14" s="14"/>
    </row>
    <row r="15" spans="1:11">
      <c r="B15" t="s">
        <v>15</v>
      </c>
      <c r="C15" s="13"/>
      <c r="D15" s="12" t="s">
        <v>17</v>
      </c>
    </row>
    <row r="16" spans="1:11">
      <c r="B16" t="s">
        <v>0</v>
      </c>
      <c r="C16" s="13"/>
      <c r="D16" s="12" t="s">
        <v>16</v>
      </c>
    </row>
  </sheetData>
  <mergeCells count="4">
    <mergeCell ref="A3:F3"/>
    <mergeCell ref="G3:I3"/>
    <mergeCell ref="A6:B6"/>
    <mergeCell ref="A8:B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B534-0FC8-41F6-A1F4-D3C29CF516A7}">
  <sheetPr codeName="Arkusz2"/>
  <dimension ref="A1:K26"/>
  <sheetViews>
    <sheetView tabSelected="1" workbookViewId="0">
      <selection activeCell="I27" activeCellId="1" sqref="H19 I27"/>
    </sheetView>
  </sheetViews>
  <sheetFormatPr defaultColWidth="5.875" defaultRowHeight="14.25"/>
  <cols>
    <col min="1" max="2" width="11.625" bestFit="1" customWidth="1"/>
    <col min="3" max="3" width="10.75" customWidth="1"/>
    <col min="4" max="4" width="9.875" customWidth="1"/>
    <col min="5" max="5" width="7.125" bestFit="1" customWidth="1"/>
    <col min="6" max="6" width="7.625" customWidth="1"/>
    <col min="7" max="7" width="5.875" customWidth="1"/>
    <col min="8" max="8" width="9.25" bestFit="1" customWidth="1"/>
    <col min="9" max="9" width="8.125" customWidth="1"/>
    <col min="11" max="11" width="9" customWidth="1"/>
    <col min="14" max="14" width="9.625" customWidth="1"/>
  </cols>
  <sheetData>
    <row r="1" spans="1:11" ht="15" thickBo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</row>
    <row r="2" spans="1:11" s="1" customFormat="1" ht="60" thickBot="1">
      <c r="A2" s="3">
        <v>1</v>
      </c>
      <c r="B2" s="4">
        <v>6</v>
      </c>
      <c r="C2" s="4">
        <v>2</v>
      </c>
      <c r="D2" s="4">
        <v>7</v>
      </c>
      <c r="E2" s="4">
        <v>1</v>
      </c>
      <c r="F2" s="5">
        <v>1</v>
      </c>
      <c r="G2" s="7">
        <v>5</v>
      </c>
      <c r="H2" s="8">
        <v>5</v>
      </c>
      <c r="I2" s="9">
        <v>9</v>
      </c>
      <c r="J2" s="6">
        <v>8</v>
      </c>
      <c r="K2" s="6">
        <v>7</v>
      </c>
    </row>
    <row r="3" spans="1:11" ht="15.75" thickBot="1">
      <c r="A3" s="16" t="s">
        <v>1</v>
      </c>
      <c r="B3" s="17"/>
      <c r="C3" s="17"/>
      <c r="D3" s="17"/>
      <c r="E3" s="17"/>
      <c r="F3" s="18"/>
      <c r="G3" s="16" t="s">
        <v>2</v>
      </c>
      <c r="H3" s="17"/>
      <c r="I3" s="18"/>
      <c r="J3" s="10" t="s">
        <v>0</v>
      </c>
      <c r="K3" s="11" t="s">
        <v>3</v>
      </c>
    </row>
    <row r="6" spans="1:11" ht="15" thickBot="1">
      <c r="A6" s="19" t="s">
        <v>4</v>
      </c>
      <c r="B6" s="19"/>
      <c r="C6" s="22">
        <f>G18</f>
        <v>7</v>
      </c>
      <c r="F6" t="s">
        <v>20</v>
      </c>
      <c r="G6">
        <v>1</v>
      </c>
    </row>
    <row r="7" spans="1:11">
      <c r="A7" s="23"/>
      <c r="B7" s="24"/>
      <c r="C7" s="24" t="s">
        <v>28</v>
      </c>
      <c r="D7" s="25"/>
      <c r="G7">
        <v>3</v>
      </c>
    </row>
    <row r="8" spans="1:11">
      <c r="A8" s="26" t="s">
        <v>5</v>
      </c>
      <c r="B8" s="27"/>
      <c r="C8" s="28"/>
      <c r="D8" s="29"/>
      <c r="G8">
        <v>7</v>
      </c>
    </row>
    <row r="9" spans="1:11">
      <c r="A9" s="30"/>
      <c r="B9" s="28" t="s">
        <v>6</v>
      </c>
      <c r="C9" s="13">
        <v>2016</v>
      </c>
      <c r="D9" s="31">
        <v>1914</v>
      </c>
      <c r="G9">
        <v>9</v>
      </c>
    </row>
    <row r="10" spans="1:11">
      <c r="A10" s="30"/>
      <c r="B10" s="28" t="s">
        <v>7</v>
      </c>
      <c r="C10" s="21" t="s">
        <v>29</v>
      </c>
      <c r="D10" s="31" t="s">
        <v>18</v>
      </c>
      <c r="G10">
        <v>1</v>
      </c>
    </row>
    <row r="11" spans="1:11">
      <c r="A11" s="30"/>
      <c r="B11" s="28" t="s">
        <v>8</v>
      </c>
      <c r="C11" s="13">
        <v>11</v>
      </c>
      <c r="D11" s="32" t="s">
        <v>25</v>
      </c>
      <c r="G11">
        <v>3</v>
      </c>
    </row>
    <row r="12" spans="1:11">
      <c r="A12" s="30"/>
      <c r="B12" s="28" t="s">
        <v>11</v>
      </c>
      <c r="C12" s="13">
        <v>7</v>
      </c>
      <c r="D12" s="32" t="s">
        <v>24</v>
      </c>
      <c r="G12">
        <v>7</v>
      </c>
      <c r="I12" t="s">
        <v>27</v>
      </c>
    </row>
    <row r="13" spans="1:11" ht="15" thickBot="1">
      <c r="A13" s="33"/>
      <c r="B13" s="34" t="s">
        <v>13</v>
      </c>
      <c r="C13" s="35">
        <v>42681</v>
      </c>
      <c r="D13" s="36" t="s">
        <v>19</v>
      </c>
      <c r="G13">
        <v>9</v>
      </c>
      <c r="I13">
        <f>IF(G18=K2,K2,"BŁĄD")</f>
        <v>7</v>
      </c>
    </row>
    <row r="14" spans="1:11">
      <c r="C14" s="15"/>
      <c r="D14" s="14"/>
      <c r="G14">
        <v>1</v>
      </c>
    </row>
    <row r="15" spans="1:11">
      <c r="B15" t="s">
        <v>15</v>
      </c>
      <c r="C15" s="13" t="str">
        <f>H20</f>
        <v>Kobieta</v>
      </c>
      <c r="D15" s="12" t="s">
        <v>17</v>
      </c>
      <c r="G15">
        <v>3</v>
      </c>
    </row>
    <row r="16" spans="1:11">
      <c r="B16" t="s">
        <v>0</v>
      </c>
      <c r="C16" s="13" t="str">
        <f>G20</f>
        <v>k</v>
      </c>
      <c r="D16" s="12" t="s">
        <v>16</v>
      </c>
      <c r="F16" t="s">
        <v>21</v>
      </c>
      <c r="G16">
        <f>A2*G6+B2*G7+C2*G8+D2*G9+E2*G10+F2*G11+G2*G12+H2*G13+I2*G14+J2*G15</f>
        <v>213</v>
      </c>
    </row>
    <row r="17" spans="2:8">
      <c r="F17" t="s">
        <v>26</v>
      </c>
      <c r="G17">
        <f>MOD(G16,10)</f>
        <v>3</v>
      </c>
    </row>
    <row r="18" spans="2:8">
      <c r="F18" t="s">
        <v>22</v>
      </c>
      <c r="G18">
        <f>10-G17</f>
        <v>7</v>
      </c>
    </row>
    <row r="20" spans="2:8">
      <c r="F20" t="s">
        <v>23</v>
      </c>
      <c r="G20" t="str">
        <f>IF(MOD(J2, 2) = 0, "k", "m")</f>
        <v>k</v>
      </c>
      <c r="H20" t="str">
        <f>IF(G20="m", "Mężczyzna", "Kobieta")</f>
        <v>Kobieta</v>
      </c>
    </row>
    <row r="26" spans="2:8">
      <c r="B26">
        <v>16271155987</v>
      </c>
    </row>
  </sheetData>
  <mergeCells count="4">
    <mergeCell ref="A3:F3"/>
    <mergeCell ref="G3:I3"/>
    <mergeCell ref="A6:B6"/>
    <mergeCell ref="A8:B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blicz_pesel">
                <anchor moveWithCells="1">
                  <from>
                    <xdr:col>1</xdr:col>
                    <xdr:colOff>438150</xdr:colOff>
                    <xdr:row>20</xdr:row>
                    <xdr:rowOff>57150</xdr:rowOff>
                  </from>
                  <to>
                    <xdr:col>2</xdr:col>
                    <xdr:colOff>514350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Pesel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</dc:creator>
  <cp:lastModifiedBy>Malesa Krystian (STUD)</cp:lastModifiedBy>
  <dcterms:created xsi:type="dcterms:W3CDTF">2017-03-31T08:53:24Z</dcterms:created>
  <dcterms:modified xsi:type="dcterms:W3CDTF">2025-03-25T15:01:26Z</dcterms:modified>
</cp:coreProperties>
</file>