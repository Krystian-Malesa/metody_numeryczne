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\\eos\STUDENTs$\335776\Desktop\metody_numeryczne-main\Przetwarzanie_duzych_zbiorow\"/>
    </mc:Choice>
  </mc:AlternateContent>
  <xr:revisionPtr revIDLastSave="0" documentId="13_ncr:1_{FB77C7E1-C299-4354-8A03-A91D055BB43A}" xr6:coauthVersionLast="47" xr6:coauthVersionMax="47" xr10:uidLastSave="{00000000-0000-0000-0000-000000000000}"/>
  <bookViews>
    <workbookView xWindow="-120" yWindow="-120" windowWidth="38640" windowHeight="21240" activeTab="1" xr2:uid="{57E476F0-9B1B-4AEC-82A2-6BEE85F076E9}"/>
  </bookViews>
  <sheets>
    <sheet name="sygnal (2)" sheetId="6" r:id="rId1"/>
    <sheet name="Arkusz1" sheetId="1" r:id="rId2"/>
    <sheet name="Arkusz2" sheetId="2" r:id="rId3"/>
    <sheet name="Arkusz3" sheetId="3" r:id="rId4"/>
    <sheet name="Arkusz4" sheetId="4" r:id="rId5"/>
  </sheets>
  <definedNames>
    <definedName name="ExternalData_1" localSheetId="0" hidden="1">'sygnal (2)'!$A$1:$A$129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6" l="1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2" i="6"/>
  <c r="G3" i="6"/>
  <c r="G4" i="6"/>
  <c r="G5" i="6"/>
  <c r="G6" i="6"/>
  <c r="G7" i="6"/>
  <c r="G8" i="6"/>
  <c r="G9" i="6"/>
  <c r="G10" i="6"/>
  <c r="G11" i="6"/>
  <c r="G12" i="6"/>
  <c r="G13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3" i="6"/>
  <c r="D4" i="6"/>
  <c r="D5" i="6"/>
  <c r="D2" i="6"/>
  <c r="E1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B62343-929E-44A9-85E1-77309CE4AA57}" keepAlive="1" name="Zapytanie — sygnal (2)" description="Połączenie z zapytaniem „sygnal (2)” w skoroszycie." type="5" refreshedVersion="8" background="1" saveData="1">
    <dbPr connection="Provider=Microsoft.Mashup.OleDb.1;Data Source=$Workbook$;Location=&quot;sygnal (2)&quot;;Extended Properties=&quot;&quot;" command="SELECT * FROM [sygnal (2)]"/>
  </connection>
</connections>
</file>

<file path=xl/sharedStrings.xml><?xml version="1.0" encoding="utf-8"?>
<sst xmlns="http://schemas.openxmlformats.org/spreadsheetml/2006/main" count="130" uniqueCount="130">
  <si>
    <t>Column1</t>
  </si>
  <si>
    <t>78,419386175</t>
  </si>
  <si>
    <t>-27,1296105563829-4,98870142763971i</t>
  </si>
  <si>
    <t>-2,72228157769493-0,269110559853423i</t>
  </si>
  <si>
    <t>0,920567009534677+2,02623770618012i</t>
  </si>
  <si>
    <t>2,6914247347915+4,86104759877242i</t>
  </si>
  <si>
    <t>4,92078941888915+10,730044071659i</t>
  </si>
  <si>
    <t>15,8375411067699+43,9184822389745i</t>
  </si>
  <si>
    <t>-8,98431812207955-32,6364217990443i</t>
  </si>
  <si>
    <t>-2,67492280857504-13,2615127239485i</t>
  </si>
  <si>
    <t>-1,1917029158898-8,68108134264861i</t>
  </si>
  <si>
    <t>-0,525067530262589-6,58358821659973i</t>
  </si>
  <si>
    <t>-0,147062364719795-5,35909806794366i</t>
  </si>
  <si>
    <t>9,50942017577808E-002-4,54551033898361i</t>
  </si>
  <si>
    <t>0,262409525688551-3,95958880004615i</t>
  </si>
  <si>
    <t>0,384149210321556-3,51381719912415i</t>
  </si>
  <si>
    <t>0,476136960371072-3,16092896948796i</t>
  </si>
  <si>
    <t>0,547682767893678-2,87305196002807i</t>
  </si>
  <si>
    <t>0,60461981974565-2,63262759606245i</t>
  </si>
  <si>
    <t>0,650785340126205-2,42800902484071i</t>
  </si>
  <si>
    <t>0,688803539028282-2,25114431897654i</t>
  </si>
  <si>
    <t>0,720527049727125-2,09627472877262i</t>
  </si>
  <si>
    <t>0,747298869189854-1,95916331605505i</t>
  </si>
  <si>
    <t>0,770114684947571-1,83661712653084i</t>
  </si>
  <si>
    <t>0,789727052781878-1,72617998103186i</t>
  </si>
  <si>
    <t>0,806714383283449-1,62592851789602i</t>
  </si>
  <si>
    <t>0,821527844669831-1,53433293442492i</t>
  </si>
  <si>
    <t>0,834523969472975-1,45015960156728i</t>
  </si>
  <si>
    <t>0,84598780095844-1,37240149899672i</t>
  </si>
  <si>
    <t>0,856149625214082-1,30022754618331i</t>
  </si>
  <si>
    <t>0,865197254165061-1,23294506461913i</t>
  </si>
  <si>
    <t>0,873285167503634-1,16997154498414i</t>
  </si>
  <si>
    <t>0,880541445030493-1,11081313467802i</t>
  </si>
  <si>
    <t>0,887073032000006-1,055047997i</t>
  </si>
  <si>
    <t>0,892969790292468-1,00231332824219i</t>
  </si>
  <si>
    <t>0,898307728130249-0,952295107520562i</t>
  </si>
  <si>
    <t>0,903151457074111-0,904719923715136i</t>
  </si>
  <si>
    <t>0,907556208685161-0,859348394760728i</t>
  </si>
  <si>
    <t>0,911569389442288-0,815969863139935i</t>
  </si>
  <si>
    <t>0,915231906710482-0,774398001383124i</t>
  </si>
  <si>
    <t>0,918579171957147-0,734467263428979i</t>
  </si>
  <si>
    <t>0,921641968990836-0,696029887115389i</t>
  </si>
  <si>
    <t>0,924447142309002-0,6589534246003i</t>
  </si>
  <si>
    <t>0,927018177559683-0,623118678392954i</t>
  </si>
  <si>
    <t>0,929375677715514-0,588417921186009i</t>
  </si>
  <si>
    <t>0,931537751011389-0,554753412006965i</t>
  </si>
  <si>
    <t>0,933520381135237-0,52203616595941i</t>
  </si>
  <si>
    <t>0,935337660403939-0,490184805856701i</t>
  </si>
  <si>
    <t>0,937002050583039-0,459124663817842i</t>
  </si>
  <si>
    <t>0,938524610106317-0,428786966028068i</t>
  </si>
  <si>
    <t>0,939915107025137-0,399108112353355i</t>
  </si>
  <si>
    <t>0,941182206134482-0,370029074393425i</t>
  </si>
  <si>
    <t>0,942333591654427-0,341494844601381i</t>
  </si>
  <si>
    <t>0,943376061755181-0,313453957966466i</t>
  </si>
  <si>
    <t>0,944315607844038-0,285858086097948i</t>
  </si>
  <si>
    <t>0,945157526206691-0,258661629022234i</t>
  </si>
  <si>
    <t>0,945906457046782-0,231821403419605i</t>
  </si>
  <si>
    <t>0,946566456300725-0,205296305167834i</t>
  </si>
  <si>
    <t>0,94714103230138-0,179047064612284i</t>
  </si>
  <si>
    <t>0,947633197627743-0,153035980438283i</t>
  </si>
  <si>
    <t>0,948045493630262-0,12722666206107i</t>
  </si>
  <si>
    <t>0,948380039057771-0,101583857553513i</t>
  </si>
  <si>
    <t>0,948638509112718-7,60731835990986E-002i</t>
  </si>
  <si>
    <t>0,948822218042502-5,06610076796808E-002i</t>
  </si>
  <si>
    <t>0,948932079895281-2,53142042326471E-002i</t>
  </si>
  <si>
    <t>0,948968637000007</t>
  </si>
  <si>
    <t>0,948932079895284+2,53142042326129E-002i</t>
  </si>
  <si>
    <t>0,948822218042506+5,06610076796757E-002i</t>
  </si>
  <si>
    <t>0,948638509112717+7,60731835990914E-002i</t>
  </si>
  <si>
    <t>0,948380039057767+0,101583857553512i</t>
  </si>
  <si>
    <t>0,948045493630251+0,127226662061067i</t>
  </si>
  <si>
    <t>0,947633197627702+0,1530359804383i</t>
  </si>
  <si>
    <t>0,947141032301411+0,179047064612263i</t>
  </si>
  <si>
    <t>0,946566456300736+0,205296305167828i</t>
  </si>
  <si>
    <t>0,945906457046791+0,231821403419595i</t>
  </si>
  <si>
    <t>0,9451575262067+0,258661629022235i</t>
  </si>
  <si>
    <t>0,944315607844046+0,285858086097941i</t>
  </si>
  <si>
    <t>0,943376061755186+0,313453957966463i</t>
  </si>
  <si>
    <t>0,94233359165443+0,341494844601373i</t>
  </si>
  <si>
    <t>0,941182206134483+0,370029074393422i</t>
  </si>
  <si>
    <t>0,939915107025147+0,399108112353344i</t>
  </si>
  <si>
    <t>0,938524610106319+0,428786966028066i</t>
  </si>
  <si>
    <t>0,937002050583043+0,459124663817831i</t>
  </si>
  <si>
    <t>0,935337660403945+0,490184805856701i</t>
  </si>
  <si>
    <t>0,933520381135243+0,522036165959402i</t>
  </si>
  <si>
    <t>0,931537751011392+0,554753412006961i</t>
  </si>
  <si>
    <t>0,929375677715517+0,588417921185999i</t>
  </si>
  <si>
    <t>0,927018177559681+0,623118678392952i</t>
  </si>
  <si>
    <t>0,924447142309015+0,658953424600288i</t>
  </si>
  <si>
    <t>0,921641968990836+0,69602988711538i</t>
  </si>
  <si>
    <t>0,918579171957143+0,734467263428954i</t>
  </si>
  <si>
    <t>0,915231906710493+0,774398001383147i</t>
  </si>
  <si>
    <t>0,911569389442299+0,815969863139936i</t>
  </si>
  <si>
    <t>0,907556208685166+0,859348394760729i</t>
  </si>
  <si>
    <t>0,903151457074118+0,904719923715129i</t>
  </si>
  <si>
    <t>0,898307728130253+0,95229510752056i</t>
  </si>
  <si>
    <t>0,892969790292489+1,00231332824217i</t>
  </si>
  <si>
    <t>0,887073032000008+1,055047997i</t>
  </si>
  <si>
    <t>0,880541445030516+1,110813134678i</t>
  </si>
  <si>
    <t>0,873285167503641+1,16997154498415i</t>
  </si>
  <si>
    <t>0,865197254165071+1,23294506461913i</t>
  </si>
  <si>
    <t>0,856149625214085+1,30022754618331i</t>
  </si>
  <si>
    <t>0,845987800958443+1,37240149899671i</t>
  </si>
  <si>
    <t>0,83452396947295+1,45015960156727i</t>
  </si>
  <si>
    <t>0,821527844669861+1,53433293442493i</t>
  </si>
  <si>
    <t>0,806714383283462+1,62592851789602i</t>
  </si>
  <si>
    <t>0,789727052781897+1,72617998103185i</t>
  </si>
  <si>
    <t>0,770114684947583+1,83661712653085i</t>
  </si>
  <si>
    <t>0,747298869189873+1,95916331605505i</t>
  </si>
  <si>
    <t>0,720527049727135+2,09627472877262i</t>
  </si>
  <si>
    <t>0,6888035390283+2,25114431897653i</t>
  </si>
  <si>
    <t>0,650785340126213+2,42800902484071i</t>
  </si>
  <si>
    <t>0,60461981974568+2,63262759606244i</t>
  </si>
  <si>
    <t>0,547682767893685+2,87305196002807i</t>
  </si>
  <si>
    <t>0,476136960371106+3,16092896948795i</t>
  </si>
  <si>
    <t>0,384149210321569+3,51381719912418i</t>
  </si>
  <si>
    <t>0,262409525688579+3,95958880004616i</t>
  </si>
  <si>
    <t>9,50942017577956E-002+4,54551033898362i</t>
  </si>
  <si>
    <t>-0,14706236471976+5,35909806794366i</t>
  </si>
  <si>
    <t>-0,525067530262575+6,58358821659975i</t>
  </si>
  <si>
    <t>-1,19170291588974+8,68108134264863i</t>
  </si>
  <si>
    <t>-2,674922808575+13,2615127239485i</t>
  </si>
  <si>
    <t>-8,98431812207938+32,6364217990444i</t>
  </si>
  <si>
    <t>15,8375411067697-43,9184822389746i</t>
  </si>
  <si>
    <t>4,92078941888911-10,730044071659i</t>
  </si>
  <si>
    <t>2,69142473479148-4,86104759877242i</t>
  </si>
  <si>
    <t>0,920567009534687-2,0262377061801i</t>
  </si>
  <si>
    <t>-2,72228157769492+0,269110559853405i</t>
  </si>
  <si>
    <t>-27,1296105563829+4,98870142763987i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</si>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</sst>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Aptos Narrow"/>
      <family val="2"/>
      <charset val="238"/>
      <scheme val="minor"/>
    </font>
    <font>
      <sz val="11"/>
      <color rgb="FF000000"/>
      <name val="Aptos Narrow"/>
      <family val="2"/>
    </font>
    <font>
      <sz val="8"/>
      <name val="Aptos Narrow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4" fontId="0" fillId="2" borderId="0" xfId="0" applyNumberFormat="1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9</xdr:row>
          <xdr:rowOff>85725</xdr:rowOff>
        </xdr:from>
        <xdr:to>
          <xdr:col>10</xdr:col>
          <xdr:colOff>285750</xdr:colOff>
          <xdr:row>10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0</xdr:row>
          <xdr:rowOff>76200</xdr:rowOff>
        </xdr:from>
        <xdr:to>
          <xdr:col>7</xdr:col>
          <xdr:colOff>409575</xdr:colOff>
          <xdr:row>0</xdr:row>
          <xdr:rowOff>314325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Długość pliku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11</xdr:row>
          <xdr:rowOff>133350</xdr:rowOff>
        </xdr:from>
        <xdr:to>
          <xdr:col>11</xdr:col>
          <xdr:colOff>152400</xdr:colOff>
          <xdr:row>12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DFT z zapisem do pliku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438150</xdr:colOff>
          <xdr:row>1</xdr:row>
          <xdr:rowOff>9525</xdr:rowOff>
        </xdr:from>
        <xdr:to>
          <xdr:col>13</xdr:col>
          <xdr:colOff>533400</xdr:colOff>
          <xdr:row>2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Odczyt DFT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28575</xdr:rowOff>
        </xdr:from>
        <xdr:to>
          <xdr:col>10</xdr:col>
          <xdr:colOff>114300</xdr:colOff>
          <xdr:row>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Suma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B86D908-F2BB-4EF7-91C9-99A875504093}" autoFormatId="16" applyNumberFormats="0" applyBorderFormats="0" applyFontFormats="0" applyPatternFormats="0" applyAlignmentFormats="0" applyWidthHeightFormats="0">
  <queryTableRefresh nextId="3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93F74BF-3091-4339-B17E-705127FB5EEA}" name="sygnal__2" displayName="sygnal__2" ref="A1:B129" tableType="queryTable" totalsRowShown="0">
  <autoFilter ref="A1:B129" xr:uid="{B93F74BF-3091-4339-B17E-705127FB5EEA}"/>
  <tableColumns count="2">
    <tableColumn id="1" xr3:uid="{32A39B8B-8AEE-47E7-857A-4236C471DA29}" uniqueName="1" name="Column1" queryTableFieldId="1"/>
    <tableColumn id="2" xr3:uid="{BA53B1FE-38AD-4ADC-8CA2-F36D9AC25ECC}" uniqueName="2" name="Column2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BDCC2-A833-41D8-93BC-4FB64144A08B}">
  <sheetPr codeName="Arkusz6"/>
  <dimension ref="A1:G130"/>
  <sheetViews>
    <sheetView workbookViewId="0">
      <selection activeCell="G2" sqref="G2"/>
    </sheetView>
  </sheetViews>
  <sheetFormatPr defaultRowHeight="15" x14ac:dyDescent="0.25"/>
  <cols>
    <col min="1" max="1" width="12.7109375" bestFit="1" customWidth="1"/>
    <col min="2" max="2" width="40.42578125" bestFit="1" customWidth="1"/>
    <col min="7" max="7" width="12.7109375" bestFit="1" customWidth="1"/>
  </cols>
  <sheetData>
    <row r="1" spans="1:7" x14ac:dyDescent="0.25">
      <c r="A1" t="s">
        <v>0</v>
      </c>
      <c r="B1" t="s">
        <v>129</v>
      </c>
      <c r="E1">
        <f>SUM(sygnal__2[Column1])</f>
        <v>78.419386174999985</v>
      </c>
    </row>
    <row r="2" spans="1:7" x14ac:dyDescent="0.25">
      <c r="A2">
        <v>1</v>
      </c>
      <c r="B2" t="s">
        <v>1</v>
      </c>
      <c r="D2">
        <f>IMABS(sygnal__2[[#This Row],[Column2]])</f>
        <v>78.419386175</v>
      </c>
      <c r="G2">
        <f>Arkusz1!D1-D2</f>
        <v>0</v>
      </c>
    </row>
    <row r="3" spans="1:7" x14ac:dyDescent="0.25">
      <c r="A3">
        <v>0.97723346499999997</v>
      </c>
      <c r="B3" t="s">
        <v>2</v>
      </c>
      <c r="D3">
        <f>IMABS(sygnal__2[[#This Row],[Column2]])</f>
        <v>27.58446865312321</v>
      </c>
      <c r="G3">
        <f>Arkusz1!D2-D3</f>
        <v>1.888123108198414E-2</v>
      </c>
    </row>
    <row r="4" spans="1:7" x14ac:dyDescent="0.25">
      <c r="A4">
        <v>0.86135295099999998</v>
      </c>
      <c r="B4" t="s">
        <v>3</v>
      </c>
      <c r="D4">
        <f>IMABS(sygnal__2[[#This Row],[Column2]])</f>
        <v>2.7355506724756209</v>
      </c>
      <c r="G4">
        <f>Arkusz1!D3-D4</f>
        <v>8.5202538303010691</v>
      </c>
    </row>
    <row r="5" spans="1:7" x14ac:dyDescent="0.25">
      <c r="A5">
        <v>0.66624434799999999</v>
      </c>
      <c r="B5" t="s">
        <v>4</v>
      </c>
      <c r="D5">
        <f>IMABS(sygnal__2[[#This Row],[Column2]])</f>
        <v>2.2255522597750184</v>
      </c>
      <c r="G5">
        <f>Arkusz1!D4-D5</f>
        <v>-1.3034473709227083</v>
      </c>
    </row>
    <row r="6" spans="1:7" x14ac:dyDescent="0.25">
      <c r="A6">
        <v>0.41354545799999998</v>
      </c>
      <c r="B6" t="s">
        <v>5</v>
      </c>
      <c r="D6">
        <f>IMABS(sygnal__2[[#This Row],[Column2]])</f>
        <v>5.5563972914631119</v>
      </c>
      <c r="G6">
        <f>Arkusz1!D5-D6</f>
        <v>-0.39443976800292457</v>
      </c>
    </row>
    <row r="7" spans="1:7" x14ac:dyDescent="0.25">
      <c r="A7">
        <v>0.13052619200000001</v>
      </c>
      <c r="B7" t="s">
        <v>6</v>
      </c>
      <c r="D7">
        <f>IMABS(sygnal__2[[#This Row],[Column2]])</f>
        <v>11.804575989199947</v>
      </c>
      <c r="G7">
        <f>Arkusz1!D6-D7</f>
        <v>0.74029680304175294</v>
      </c>
    </row>
    <row r="8" spans="1:7" x14ac:dyDescent="0.25">
      <c r="A8">
        <v>-0.15258252899999999</v>
      </c>
      <c r="B8" t="s">
        <v>7</v>
      </c>
      <c r="D8">
        <f>IMABS(sygnal__2[[#This Row],[Column2]])</f>
        <v>46.686837443585155</v>
      </c>
      <c r="G8">
        <f>Arkusz1!D7-D8</f>
        <v>5.7757143160215207</v>
      </c>
    </row>
    <row r="9" spans="1:7" x14ac:dyDescent="0.25">
      <c r="A9">
        <v>-0.40554972700000003</v>
      </c>
      <c r="B9" t="s">
        <v>8</v>
      </c>
      <c r="D9">
        <f>IMABS(sygnal__2[[#This Row],[Column2]])</f>
        <v>33.850465284303858</v>
      </c>
      <c r="G9">
        <f>Arkusz1!D8-D9</f>
        <v>5.3554150860519485</v>
      </c>
    </row>
    <row r="10" spans="1:7" x14ac:dyDescent="0.25">
      <c r="A10">
        <v>-0.60110530399999995</v>
      </c>
      <c r="B10" t="s">
        <v>9</v>
      </c>
      <c r="D10">
        <f>IMABS(sygnal__2[[#This Row],[Column2]])</f>
        <v>13.528596814129797</v>
      </c>
      <c r="G10">
        <f>Arkusz1!D9-D10</f>
        <v>2.4229442188672508</v>
      </c>
    </row>
    <row r="11" spans="1:7" x14ac:dyDescent="0.25">
      <c r="A11">
        <v>-0.71761115200000003</v>
      </c>
      <c r="B11" t="s">
        <v>10</v>
      </c>
      <c r="D11">
        <f>IMABS(sygnal__2[[#This Row],[Column2]])</f>
        <v>8.7624955987105668</v>
      </c>
      <c r="G11">
        <f>Arkusz1!D10-D11</f>
        <v>1.6801949875611903</v>
      </c>
    </row>
    <row r="12" spans="1:7" x14ac:dyDescent="0.25">
      <c r="A12">
        <v>-0.74118095500000003</v>
      </c>
      <c r="B12" t="s">
        <v>11</v>
      </c>
      <c r="D12">
        <f>IMABS(sygnal__2[[#This Row],[Column2]])</f>
        <v>6.6044931461155185</v>
      </c>
      <c r="G12">
        <f>Arkusz1!D11-D12</f>
        <v>1.3136445534590644</v>
      </c>
    </row>
    <row r="13" spans="1:7" x14ac:dyDescent="0.25">
      <c r="A13">
        <v>-0.66704117200000002</v>
      </c>
      <c r="B13" t="s">
        <v>12</v>
      </c>
      <c r="D13">
        <f>IMABS(sygnal__2[[#This Row],[Column2]])</f>
        <v>5.3611155034147924</v>
      </c>
      <c r="G13">
        <f>Arkusz1!D12-D13</f>
        <v>1.0836320401252282</v>
      </c>
    </row>
    <row r="14" spans="1:7" x14ac:dyDescent="0.25">
      <c r="A14">
        <v>-0.5</v>
      </c>
      <c r="B14" t="s">
        <v>13</v>
      </c>
      <c r="D14">
        <f>IMABS(sygnal__2[[#This Row],[Column2]])</f>
        <v>4.5465049377532685</v>
      </c>
      <c r="G14">
        <f>Arkusz1!D13-D14</f>
        <v>0.9201791700128501</v>
      </c>
    </row>
    <row r="15" spans="1:7" x14ac:dyDescent="0.25">
      <c r="A15">
        <v>-0.25397839300000002</v>
      </c>
      <c r="B15" t="s">
        <v>14</v>
      </c>
      <c r="D15">
        <f>IMABS(sygnal__2[[#This Row],[Column2]])</f>
        <v>3.9682744643765506</v>
      </c>
      <c r="G15">
        <f>Arkusz1!D14-D15</f>
        <v>0.79488619105415292</v>
      </c>
    </row>
    <row r="16" spans="1:7" x14ac:dyDescent="0.25">
      <c r="A16">
        <v>4.9350955000000002E-2</v>
      </c>
      <c r="B16" t="s">
        <v>15</v>
      </c>
      <c r="D16">
        <f>IMABS(sygnal__2[[#This Row],[Column2]])</f>
        <v>3.5347534460908818</v>
      </c>
      <c r="G16">
        <f>Arkusz1!D15-D16</f>
        <v>0.69387143641965565</v>
      </c>
    </row>
    <row r="17" spans="1:7" x14ac:dyDescent="0.25">
      <c r="A17">
        <v>0.38268343199999999</v>
      </c>
      <c r="B17" t="s">
        <v>16</v>
      </c>
      <c r="D17">
        <f>IMABS(sygnal__2[[#This Row],[Column2]])</f>
        <v>3.1965885495602366</v>
      </c>
      <c r="G17">
        <f>Arkusz1!D16-D17</f>
        <v>0.60944387108745168</v>
      </c>
    </row>
    <row r="18" spans="1:7" x14ac:dyDescent="0.25">
      <c r="A18">
        <v>0.71575363700000005</v>
      </c>
      <c r="B18" t="s">
        <v>17</v>
      </c>
      <c r="D18">
        <f>IMABS(sygnal__2[[#This Row],[Column2]])</f>
        <v>2.9247878520106063</v>
      </c>
      <c r="G18">
        <f>Arkusz1!D17-D18</f>
        <v>0.53629079510191779</v>
      </c>
    </row>
    <row r="19" spans="1:7" x14ac:dyDescent="0.25">
      <c r="A19">
        <v>1.0182963490000001</v>
      </c>
      <c r="B19" t="s">
        <v>18</v>
      </c>
      <c r="D19">
        <f>IMABS(sygnal__2[[#This Row],[Column2]])</f>
        <v>2.7011651534067322</v>
      </c>
      <c r="G19">
        <f>Arkusz1!D18-D19</f>
        <v>0.47035663198594646</v>
      </c>
    </row>
    <row r="20" spans="1:7" x14ac:dyDescent="0.25">
      <c r="A20">
        <v>1.263007494</v>
      </c>
      <c r="B20" t="s">
        <v>19</v>
      </c>
      <c r="D20">
        <f>IMABS(sygnal__2[[#This Row],[Column2]])</f>
        <v>2.5137122714485671</v>
      </c>
      <c r="G20">
        <f>Arkusz1!D19-D20</f>
        <v>0.4157869711848714</v>
      </c>
    </row>
    <row r="21" spans="1:7" x14ac:dyDescent="0.25">
      <c r="A21">
        <v>1.4282152770000001</v>
      </c>
      <c r="B21" t="s">
        <v>20</v>
      </c>
      <c r="D21">
        <f>IMABS(sygnal__2[[#This Row],[Column2]])</f>
        <v>2.3541667443573822</v>
      </c>
      <c r="G21">
        <f>Arkusz1!D20-D21</f>
        <v>0.3595961474151661</v>
      </c>
    </row>
    <row r="22" spans="1:7" x14ac:dyDescent="0.25">
      <c r="A22">
        <v>1.5</v>
      </c>
      <c r="B22" t="s">
        <v>21</v>
      </c>
      <c r="D22">
        <f>IMABS(sygnal__2[[#This Row],[Column2]])</f>
        <v>2.2166476869090399</v>
      </c>
      <c r="G22">
        <f>Arkusz1!D21-D22</f>
        <v>0.31546132557662876</v>
      </c>
    </row>
    <row r="23" spans="1:7" x14ac:dyDescent="0.25">
      <c r="A23">
        <v>1.473555081</v>
      </c>
      <c r="B23" t="s">
        <v>22</v>
      </c>
      <c r="D23">
        <f>IMABS(sygnal__2[[#This Row],[Column2]])</f>
        <v>2.0968491836248631</v>
      </c>
      <c r="G23">
        <f>Arkusz1!D22-D23</f>
        <v>0.26718291282231421</v>
      </c>
    </row>
    <row r="24" spans="1:7" x14ac:dyDescent="0.25">
      <c r="A24">
        <v>1.3536560289999999</v>
      </c>
      <c r="B24" t="s">
        <v>23</v>
      </c>
      <c r="D24">
        <f>IMABS(sygnal__2[[#This Row],[Column2]])</f>
        <v>1.9915418894510593</v>
      </c>
      <c r="G24">
        <f>Arkusz1!D23-D24</f>
        <v>0.21866796047550086</v>
      </c>
    </row>
    <row r="25" spans="1:7" x14ac:dyDescent="0.25">
      <c r="A25">
        <v>1.154191489</v>
      </c>
      <c r="B25" t="s">
        <v>24</v>
      </c>
      <c r="D25">
        <f>IMABS(sygnal__2[[#This Row],[Column2]])</f>
        <v>1.8982534458840588</v>
      </c>
      <c r="G25">
        <f>Arkusz1!D24-D25</f>
        <v>0.16196881666076535</v>
      </c>
    </row>
    <row r="26" spans="1:7" x14ac:dyDescent="0.25">
      <c r="A26">
        <v>0.896802247</v>
      </c>
      <c r="B26" t="s">
        <v>25</v>
      </c>
      <c r="D26">
        <f>IMABS(sygnal__2[[#This Row],[Column2]])</f>
        <v>1.8150569251414526</v>
      </c>
      <c r="G26">
        <f>Arkusz1!D25-D26</f>
        <v>9.0381784139479393E-3</v>
      </c>
    </row>
    <row r="27" spans="1:7" x14ac:dyDescent="0.25">
      <c r="A27">
        <v>0.60876142899999997</v>
      </c>
      <c r="B27" t="s">
        <v>26</v>
      </c>
      <c r="D27">
        <f>IMABS(sygnal__2[[#This Row],[Column2]])</f>
        <v>1.7404268307598698</v>
      </c>
      <c r="G27">
        <f>Arkusz1!D26-D27</f>
        <v>0.16997517345223767</v>
      </c>
    </row>
    <row r="28" spans="1:7" x14ac:dyDescent="0.25">
      <c r="A28">
        <v>0.32030339699999999</v>
      </c>
      <c r="B28" t="s">
        <v>27</v>
      </c>
      <c r="D28">
        <f>IMABS(sygnal__2[[#This Row],[Column2]])</f>
        <v>1.6731387048426984</v>
      </c>
      <c r="G28">
        <f>Arkusz1!D27-D28</f>
        <v>0.11471053309725043</v>
      </c>
    </row>
    <row r="29" spans="1:7" x14ac:dyDescent="0.25">
      <c r="A29">
        <v>6.1662795999999999E-2</v>
      </c>
      <c r="B29" t="s">
        <v>28</v>
      </c>
      <c r="D29">
        <f>IMABS(sygnal__2[[#This Row],[Column2]])</f>
        <v>1.6121976410536463</v>
      </c>
      <c r="G29">
        <f>Arkusz1!D28-D29</f>
        <v>0.48966974646749684</v>
      </c>
    </row>
    <row r="30" spans="1:7" x14ac:dyDescent="0.25">
      <c r="A30">
        <v>-0.139886388</v>
      </c>
      <c r="B30" t="s">
        <v>29</v>
      </c>
      <c r="D30">
        <f>IMABS(sygnal__2[[#This Row],[Column2]])</f>
        <v>1.5567863863125488</v>
      </c>
      <c r="G30">
        <f>Arkusz1!D29-D30</f>
        <v>0.10191626639897988</v>
      </c>
    </row>
    <row r="31" spans="1:7" x14ac:dyDescent="0.25">
      <c r="A31">
        <v>-0.26270194099999999</v>
      </c>
      <c r="B31" t="s">
        <v>30</v>
      </c>
      <c r="D31">
        <f>IMABS(sygnal__2[[#This Row],[Column2]])</f>
        <v>1.5062270150888382</v>
      </c>
      <c r="G31">
        <f>Arkusz1!D30-D31</f>
        <v>4.6315510063431375E-2</v>
      </c>
    </row>
    <row r="32" spans="1:7" x14ac:dyDescent="0.25">
      <c r="A32">
        <v>-0.29289321899999998</v>
      </c>
      <c r="B32" t="s">
        <v>31</v>
      </c>
      <c r="D32">
        <f>IMABS(sygnal__2[[#This Row],[Column2]])</f>
        <v>1.4599521909481918</v>
      </c>
      <c r="G32">
        <f>Arkusz1!D31-D32</f>
        <v>4.4346132351023027E-3</v>
      </c>
    </row>
    <row r="33" spans="1:7" x14ac:dyDescent="0.25">
      <c r="A33">
        <v>-0.225682145</v>
      </c>
      <c r="B33" t="s">
        <v>32</v>
      </c>
      <c r="D33">
        <f>IMABS(sygnal__2[[#This Row],[Column2]])</f>
        <v>1.4174833531966424</v>
      </c>
      <c r="G33">
        <f>Arkusz1!D32-D33</f>
        <v>-3.4046489212670394E-2</v>
      </c>
    </row>
    <row r="34" spans="1:7" x14ac:dyDescent="0.25">
      <c r="A34">
        <v>-6.5872168999999994E-2</v>
      </c>
      <c r="B34" t="s">
        <v>33</v>
      </c>
      <c r="D34">
        <f>IMABS(sygnal__2[[#This Row],[Column2]])</f>
        <v>1.3784138856219474</v>
      </c>
      <c r="G34">
        <f>Arkusz1!D33-D34</f>
        <v>-7.179395356760887E-2</v>
      </c>
    </row>
    <row r="35" spans="1:7" x14ac:dyDescent="0.25">
      <c r="A35">
        <v>0.17262071300000001</v>
      </c>
      <c r="B35" t="s">
        <v>34</v>
      </c>
      <c r="D35">
        <f>IMABS(sygnal__2[[#This Row],[Column2]])</f>
        <v>1.3423960124892023</v>
      </c>
      <c r="G35">
        <f>Arkusz1!D34-D35</f>
        <v>-0.11016741418171372</v>
      </c>
    </row>
    <row r="36" spans="1:7" x14ac:dyDescent="0.25">
      <c r="A36">
        <v>0.46812896700000001</v>
      </c>
      <c r="B36" t="s">
        <v>35</v>
      </c>
      <c r="D36">
        <f>IMABS(sygnal__2[[#This Row],[Column2]])</f>
        <v>1.3091305306294436</v>
      </c>
      <c r="G36">
        <f>Arkusz1!D35-D36</f>
        <v>-0.15011075415843456</v>
      </c>
    </row>
    <row r="37" spans="1:7" x14ac:dyDescent="0.25">
      <c r="A37">
        <v>0.79335334000000002</v>
      </c>
      <c r="B37" t="s">
        <v>36</v>
      </c>
      <c r="D37">
        <f>IMABS(sygnal__2[[#This Row],[Column2]])</f>
        <v>1.2783585939720556</v>
      </c>
      <c r="G37">
        <f>Arkusz1!D36-D37</f>
        <v>-0.19241764844403897</v>
      </c>
    </row>
    <row r="38" spans="1:7" x14ac:dyDescent="0.25">
      <c r="A38">
        <v>1.118033989</v>
      </c>
      <c r="B38" t="s">
        <v>37</v>
      </c>
      <c r="D38">
        <f>IMABS(sygnal__2[[#This Row],[Column2]])</f>
        <v>1.2498551658095525</v>
      </c>
      <c r="G38">
        <f>Arkusz1!D37-D38</f>
        <v>-0.23385388565866205</v>
      </c>
    </row>
    <row r="39" spans="1:7" x14ac:dyDescent="0.25">
      <c r="A39">
        <v>1.411911441</v>
      </c>
      <c r="B39" t="s">
        <v>38</v>
      </c>
      <c r="D39">
        <f>IMABS(sygnal__2[[#This Row],[Column2]])</f>
        <v>1.2234237080099397</v>
      </c>
      <c r="G39">
        <f>Arkusz1!D38-D39</f>
        <v>-0.2743755566772389</v>
      </c>
    </row>
    <row r="40" spans="1:7" x14ac:dyDescent="0.25">
      <c r="A40">
        <v>1.647687562</v>
      </c>
      <c r="B40" t="s">
        <v>39</v>
      </c>
      <c r="D40">
        <f>IMABS(sygnal__2[[#This Row],[Column2]])</f>
        <v>1.1988918665196964</v>
      </c>
      <c r="G40">
        <f>Arkusz1!D39-D40</f>
        <v>-0.28360616620247459</v>
      </c>
    </row>
    <row r="41" spans="1:7" x14ac:dyDescent="0.25">
      <c r="A41">
        <v>1.8036966809999999</v>
      </c>
      <c r="B41" t="s">
        <v>40</v>
      </c>
      <c r="D41">
        <f>IMABS(sygnal__2[[#This Row],[Column2]])</f>
        <v>1.1761079271063226</v>
      </c>
      <c r="G41">
        <f>Arkusz1!D40-D41</f>
        <v>-0.11307582226265023</v>
      </c>
    </row>
    <row r="42" spans="1:7" x14ac:dyDescent="0.25">
      <c r="A42">
        <v>1.8660254039999999</v>
      </c>
      <c r="B42" t="s">
        <v>41</v>
      </c>
      <c r="D42">
        <f>IMABS(sygnal__2[[#This Row],[Column2]])</f>
        <v>1.1549378869719213</v>
      </c>
      <c r="G42">
        <f>Arkusz1!D41-D42</f>
        <v>1.6219292220870203</v>
      </c>
    </row>
    <row r="43" spans="1:7" x14ac:dyDescent="0.25">
      <c r="A43">
        <v>1.8298736289999999</v>
      </c>
      <c r="B43" t="s">
        <v>42</v>
      </c>
      <c r="D43">
        <f>IMABS(sygnal__2[[#This Row],[Column2]])</f>
        <v>1.1352630244642621</v>
      </c>
      <c r="G43">
        <f>Arkusz1!D42-D43</f>
        <v>2.5067826590166495</v>
      </c>
    </row>
    <row r="44" spans="1:7" x14ac:dyDescent="0.25">
      <c r="A44">
        <v>1.7000235189999999</v>
      </c>
      <c r="B44" t="s">
        <v>43</v>
      </c>
      <c r="D44">
        <f>IMABS(sygnal__2[[#This Row],[Column2]])</f>
        <v>1.1169778820049472</v>
      </c>
      <c r="G44">
        <f>Arkusz1!D43-D44</f>
        <v>1.1168621203661244E-2</v>
      </c>
    </row>
    <row r="45" spans="1:7" x14ac:dyDescent="0.25">
      <c r="A45">
        <v>1.490370537</v>
      </c>
      <c r="B45" t="s">
        <v>44</v>
      </c>
      <c r="D45">
        <f>IMABS(sygnal__2[[#This Row],[Column2]])</f>
        <v>1.0999885455321956</v>
      </c>
      <c r="G45">
        <f>Arkusz1!D44-D45</f>
        <v>1.065689339520969</v>
      </c>
    </row>
    <row r="46" spans="1:7" x14ac:dyDescent="0.25">
      <c r="A46">
        <v>1.222562452</v>
      </c>
      <c r="B46" t="s">
        <v>45</v>
      </c>
      <c r="D46">
        <f>IMABS(sygnal__2[[#This Row],[Column2]])</f>
        <v>1.0842112016082135</v>
      </c>
      <c r="G46">
        <f>Arkusz1!D45-D46</f>
        <v>3.7949434542564386E-2</v>
      </c>
    </row>
    <row r="47" spans="1:7" x14ac:dyDescent="0.25">
      <c r="A47">
        <v>0.92387953300000003</v>
      </c>
      <c r="B47" t="s">
        <v>46</v>
      </c>
      <c r="D47">
        <f>IMABS(sygnal__2[[#This Row],[Column2]])</f>
        <v>1.0695709703261767</v>
      </c>
      <c r="G47">
        <f>Arkusz1!D46-D47</f>
        <v>7.98174740187316</v>
      </c>
    </row>
    <row r="48" spans="1:7" x14ac:dyDescent="0.25">
      <c r="A48">
        <v>0.62456343199999997</v>
      </c>
      <c r="B48" t="s">
        <v>47</v>
      </c>
      <c r="D48">
        <f>IMABS(sygnal__2[[#This Row],[Column2]])</f>
        <v>1.0560007968096832</v>
      </c>
      <c r="G48">
        <f>Arkusz1!D47-D48</f>
        <v>1.3740168407669766</v>
      </c>
    </row>
    <row r="49" spans="1:7" x14ac:dyDescent="0.25">
      <c r="A49">
        <v>0.35485623900000002</v>
      </c>
      <c r="B49" t="s">
        <v>48</v>
      </c>
      <c r="D49">
        <f>IMABS(sygnal__2[[#This Row],[Column2]])</f>
        <v>1.0434406067058473</v>
      </c>
      <c r="G49">
        <f>Arkusz1!D48-D49</f>
        <v>0.74474957569957012</v>
      </c>
    </row>
    <row r="50" spans="1:7" x14ac:dyDescent="0.25">
      <c r="A50">
        <v>0.142039522</v>
      </c>
      <c r="B50" t="s">
        <v>49</v>
      </c>
      <c r="D50">
        <f>IMABS(sygnal__2[[#This Row],[Column2]])</f>
        <v>1.0318365694288849</v>
      </c>
      <c r="G50">
        <f>Arkusz1!D49-D50</f>
        <v>0.4875816833553408</v>
      </c>
    </row>
    <row r="51" spans="1:7" x14ac:dyDescent="0.25">
      <c r="A51">
        <v>7.763219E-3</v>
      </c>
      <c r="B51" t="s">
        <v>50</v>
      </c>
      <c r="D51">
        <f>IMABS(sygnal__2[[#This Row],[Column2]])</f>
        <v>1.0211403888595991</v>
      </c>
      <c r="G51">
        <f>Arkusz1!D50-D51</f>
        <v>0.32610457596515108</v>
      </c>
    </row>
    <row r="52" spans="1:7" x14ac:dyDescent="0.25">
      <c r="A52">
        <v>-3.4074173999999999E-2</v>
      </c>
      <c r="B52" t="s">
        <v>51</v>
      </c>
      <c r="D52">
        <f>IMABS(sygnal__2[[#This Row],[Column2]])</f>
        <v>1.0113087861976804</v>
      </c>
      <c r="G52">
        <f>Arkusz1!D51-D52</f>
        <v>0.77517641794418135</v>
      </c>
    </row>
    <row r="53" spans="1:7" x14ac:dyDescent="0.25">
      <c r="A53">
        <v>2.1313404000000001E-2</v>
      </c>
      <c r="B53" t="s">
        <v>52</v>
      </c>
      <c r="D53">
        <f>IMABS(sygnal__2[[#This Row],[Column2]])</f>
        <v>1.0023030114938565</v>
      </c>
      <c r="G53">
        <f>Arkusz1!D52-D53</f>
        <v>0.18292068778847237</v>
      </c>
    </row>
    <row r="54" spans="1:7" x14ac:dyDescent="0.25">
      <c r="A54">
        <v>0.16913060599999999</v>
      </c>
      <c r="B54" t="s">
        <v>53</v>
      </c>
      <c r="D54">
        <f>IMABS(sygnal__2[[#This Row],[Column2]])</f>
        <v>0.99408841541261217</v>
      </c>
      <c r="G54">
        <f>Arkusz1!D53-D54</f>
        <v>0.13902720151648329</v>
      </c>
    </row>
    <row r="55" spans="1:7" x14ac:dyDescent="0.25">
      <c r="A55">
        <v>0.39546965499999998</v>
      </c>
      <c r="B55" t="s">
        <v>54</v>
      </c>
      <c r="D55">
        <f>IMABS(sygnal__2[[#This Row],[Column2]])</f>
        <v>0.9866340824264267</v>
      </c>
      <c r="G55">
        <f>Arkusz1!D54-D55</f>
        <v>0.21125166526144457</v>
      </c>
    </row>
    <row r="56" spans="1:7" x14ac:dyDescent="0.25">
      <c r="A56">
        <v>0.67867134600000001</v>
      </c>
      <c r="B56" t="s">
        <v>55</v>
      </c>
      <c r="D56">
        <f>IMABS(sygnal__2[[#This Row],[Column2]])</f>
        <v>0.97991254082881685</v>
      </c>
      <c r="G56">
        <f>Arkusz1!D55-D56</f>
        <v>0.14433021942891366</v>
      </c>
    </row>
    <row r="57" spans="1:7" x14ac:dyDescent="0.25">
      <c r="A57">
        <v>0.99144486099999996</v>
      </c>
      <c r="B57" t="s">
        <v>56</v>
      </c>
      <c r="D57">
        <f>IMABS(sygnal__2[[#This Row],[Column2]])</f>
        <v>0.97389947559603451</v>
      </c>
      <c r="G57">
        <f>Arkusz1!D56-D57</f>
        <v>0.10132805675706591</v>
      </c>
    </row>
    <row r="58" spans="1:7" x14ac:dyDescent="0.25">
      <c r="A58">
        <v>1.30353889</v>
      </c>
      <c r="B58" t="s">
        <v>57</v>
      </c>
      <c r="D58">
        <f>IMABS(sygnal__2[[#This Row],[Column2]])</f>
        <v>0.96857350217176441</v>
      </c>
      <c r="G58">
        <f>Arkusz1!D57-D58</f>
        <v>7.6850922840623448E-2</v>
      </c>
    </row>
    <row r="59" spans="1:7" x14ac:dyDescent="0.25">
      <c r="A59">
        <v>1.5847025859999999</v>
      </c>
      <c r="B59" t="s">
        <v>58</v>
      </c>
      <c r="D59">
        <f>IMABS(sygnal__2[[#This Row],[Column2]])</f>
        <v>0.96391596439482174</v>
      </c>
      <c r="G59">
        <f>Arkusz1!D58-D59</f>
        <v>5.5408091611729771E-2</v>
      </c>
    </row>
    <row r="60" spans="1:7" x14ac:dyDescent="0.25">
      <c r="A60">
        <v>1.8076465289999999</v>
      </c>
      <c r="B60" t="s">
        <v>59</v>
      </c>
      <c r="D60">
        <f>IMABS(sygnal__2[[#This Row],[Column2]])</f>
        <v>0.95991077114223888</v>
      </c>
      <c r="G60">
        <f>Arkusz1!D59-D60</f>
        <v>3.9342340911990514E-2</v>
      </c>
    </row>
    <row r="61" spans="1:7" x14ac:dyDescent="0.25">
      <c r="A61">
        <v>1.950713841</v>
      </c>
      <c r="B61" t="s">
        <v>60</v>
      </c>
      <c r="D61">
        <f>IMABS(sygnal__2[[#This Row],[Column2]])</f>
        <v>0.95654423919223353</v>
      </c>
      <c r="G61">
        <f>Arkusz1!D60-D61</f>
        <v>2.6628471402586618E-2</v>
      </c>
    </row>
    <row r="62" spans="1:7" x14ac:dyDescent="0.25">
      <c r="A62">
        <v>2</v>
      </c>
      <c r="B62" t="s">
        <v>61</v>
      </c>
      <c r="D62">
        <f>IMABS(sygnal__2[[#This Row],[Column2]])</f>
        <v>0.95380500030072801</v>
      </c>
      <c r="G62">
        <f>Arkusz1!D61-D62</f>
        <v>1.6716656996194623E-2</v>
      </c>
    </row>
    <row r="63" spans="1:7" x14ac:dyDescent="0.25">
      <c r="A63">
        <v>1.950713841</v>
      </c>
      <c r="B63" t="s">
        <v>62</v>
      </c>
      <c r="D63">
        <f>IMABS(sygnal__2[[#This Row],[Column2]])</f>
        <v>0.95168384993888722</v>
      </c>
      <c r="G63">
        <f>Arkusz1!D62-D63</f>
        <v>9.2709400132562347E-3</v>
      </c>
    </row>
    <row r="64" spans="1:7" x14ac:dyDescent="0.25">
      <c r="A64">
        <v>1.8076465289999999</v>
      </c>
      <c r="B64" t="s">
        <v>63</v>
      </c>
      <c r="D64">
        <f>IMABS(sygnal__2[[#This Row],[Column2]])</f>
        <v>0.9501737415600443</v>
      </c>
      <c r="G64">
        <f>Arkusz1!D63-D64</f>
        <v>4.0805815681446145E-3</v>
      </c>
    </row>
    <row r="65" spans="1:7" x14ac:dyDescent="0.25">
      <c r="A65">
        <v>1.5847025859999999</v>
      </c>
      <c r="B65" t="s">
        <v>64</v>
      </c>
      <c r="D65">
        <f>IMABS(sygnal__2[[#This Row],[Column2]])</f>
        <v>0.94926966726548057</v>
      </c>
      <c r="G65">
        <f>Arkusz1!D64-D65</f>
        <v>1.0143648369246305E-3</v>
      </c>
    </row>
    <row r="66" spans="1:7" x14ac:dyDescent="0.25">
      <c r="A66">
        <v>1.30353889</v>
      </c>
      <c r="B66" t="s">
        <v>65</v>
      </c>
      <c r="D66">
        <f>IMABS(sygnal__2[[#This Row],[Column2]])</f>
        <v>0.948968637000007</v>
      </c>
      <c r="G66">
        <f>Arkusz1!D65-D66</f>
        <v>-0.948968637000007</v>
      </c>
    </row>
    <row r="67" spans="1:7" x14ac:dyDescent="0.25">
      <c r="A67">
        <v>0.99144486099999996</v>
      </c>
      <c r="B67" t="s">
        <v>66</v>
      </c>
      <c r="D67">
        <f>IMABS(sygnal__2[[#This Row],[Column2]])</f>
        <v>0.94926966726548268</v>
      </c>
      <c r="G67">
        <f>Arkusz1!D66-D67</f>
        <v>-0.94926966726548268</v>
      </c>
    </row>
    <row r="68" spans="1:7" x14ac:dyDescent="0.25">
      <c r="A68">
        <v>0.67867134600000001</v>
      </c>
      <c r="B68" t="s">
        <v>67</v>
      </c>
      <c r="D68">
        <f>IMABS(sygnal__2[[#This Row],[Column2]])</f>
        <v>0.95017374156004797</v>
      </c>
      <c r="G68">
        <f>Arkusz1!D67-D68</f>
        <v>-0.95017374156004797</v>
      </c>
    </row>
    <row r="69" spans="1:7" x14ac:dyDescent="0.25">
      <c r="A69">
        <v>0.39546965499999998</v>
      </c>
      <c r="B69" t="s">
        <v>68</v>
      </c>
      <c r="D69">
        <f>IMABS(sygnal__2[[#This Row],[Column2]])</f>
        <v>0.95168384993888577</v>
      </c>
      <c r="G69">
        <f>Arkusz1!D68-D69</f>
        <v>-0.95168384993888577</v>
      </c>
    </row>
    <row r="70" spans="1:7" x14ac:dyDescent="0.25">
      <c r="A70">
        <v>0.16913060599999999</v>
      </c>
      <c r="B70" t="s">
        <v>69</v>
      </c>
      <c r="D70">
        <f>IMABS(sygnal__2[[#This Row],[Column2]])</f>
        <v>0.95380500030072379</v>
      </c>
      <c r="G70">
        <f>Arkusz1!D69-D70</f>
        <v>-0.95380500030072379</v>
      </c>
    </row>
    <row r="71" spans="1:7" x14ac:dyDescent="0.25">
      <c r="A71">
        <v>2.1313404000000001E-2</v>
      </c>
      <c r="B71" t="s">
        <v>70</v>
      </c>
      <c r="D71">
        <f>IMABS(sygnal__2[[#This Row],[Column2]])</f>
        <v>0.9565442391922222</v>
      </c>
      <c r="G71">
        <f>Arkusz1!D70-D71</f>
        <v>-0.9565442391922222</v>
      </c>
    </row>
    <row r="72" spans="1:7" x14ac:dyDescent="0.25">
      <c r="A72">
        <v>-3.4074173999999999E-2</v>
      </c>
      <c r="B72" t="s">
        <v>71</v>
      </c>
      <c r="D72">
        <f>IMABS(sygnal__2[[#This Row],[Column2]])</f>
        <v>0.95991077114220102</v>
      </c>
      <c r="G72">
        <f>Arkusz1!D71-D72</f>
        <v>-0.95991077114220102</v>
      </c>
    </row>
    <row r="73" spans="1:7" x14ac:dyDescent="0.25">
      <c r="A73">
        <v>7.763219E-3</v>
      </c>
      <c r="B73" t="s">
        <v>72</v>
      </c>
      <c r="D73">
        <f>IMABS(sygnal__2[[#This Row],[Column2]])</f>
        <v>0.96391596439484817</v>
      </c>
      <c r="G73">
        <f>Arkusz1!D72-D73</f>
        <v>-0.96391596439484817</v>
      </c>
    </row>
    <row r="74" spans="1:7" x14ac:dyDescent="0.25">
      <c r="A74">
        <v>0.142039522</v>
      </c>
      <c r="B74" t="s">
        <v>73</v>
      </c>
      <c r="D74">
        <f>IMABS(sygnal__2[[#This Row],[Column2]])</f>
        <v>0.96857350217177374</v>
      </c>
      <c r="G74">
        <f>Arkusz1!D73-D74</f>
        <v>-0.96857350217177374</v>
      </c>
    </row>
    <row r="75" spans="1:7" x14ac:dyDescent="0.25">
      <c r="A75">
        <v>0.35485623900000002</v>
      </c>
      <c r="B75" t="s">
        <v>74</v>
      </c>
      <c r="D75">
        <f>IMABS(sygnal__2[[#This Row],[Column2]])</f>
        <v>0.97389947559604084</v>
      </c>
      <c r="G75">
        <f>Arkusz1!D74-D75</f>
        <v>-0.97389947559604084</v>
      </c>
    </row>
    <row r="76" spans="1:7" x14ac:dyDescent="0.25">
      <c r="A76">
        <v>0.62456343199999997</v>
      </c>
      <c r="B76" t="s">
        <v>75</v>
      </c>
      <c r="D76">
        <f>IMABS(sygnal__2[[#This Row],[Column2]])</f>
        <v>0.97991254082882573</v>
      </c>
      <c r="G76">
        <f>Arkusz1!D75-D76</f>
        <v>-0.97991254082882573</v>
      </c>
    </row>
    <row r="77" spans="1:7" x14ac:dyDescent="0.25">
      <c r="A77">
        <v>0.92387953300000003</v>
      </c>
      <c r="B77" t="s">
        <v>76</v>
      </c>
      <c r="D77">
        <f>IMABS(sygnal__2[[#This Row],[Column2]])</f>
        <v>0.98663408242643236</v>
      </c>
      <c r="G77">
        <f>Arkusz1!D76-D77</f>
        <v>-0.98663408242643236</v>
      </c>
    </row>
    <row r="78" spans="1:7" x14ac:dyDescent="0.25">
      <c r="A78">
        <v>1.222562452</v>
      </c>
      <c r="B78" t="s">
        <v>77</v>
      </c>
      <c r="D78">
        <f>IMABS(sygnal__2[[#This Row],[Column2]])</f>
        <v>0.99408841541261572</v>
      </c>
      <c r="G78">
        <f>Arkusz1!D77-D78</f>
        <v>-0.99408841541261572</v>
      </c>
    </row>
    <row r="79" spans="1:7" x14ac:dyDescent="0.25">
      <c r="A79">
        <v>1.490370537</v>
      </c>
      <c r="B79" t="s">
        <v>78</v>
      </c>
      <c r="D79">
        <f>IMABS(sygnal__2[[#This Row],[Column2]])</f>
        <v>1.0023030114938565</v>
      </c>
      <c r="G79">
        <f>Arkusz1!D78-D79</f>
        <v>-1.0023030114938565</v>
      </c>
    </row>
    <row r="80" spans="1:7" x14ac:dyDescent="0.25">
      <c r="A80">
        <v>1.7000235189999999</v>
      </c>
      <c r="B80" t="s">
        <v>79</v>
      </c>
      <c r="D80">
        <f>IMABS(sygnal__2[[#This Row],[Column2]])</f>
        <v>1.0113087861976802</v>
      </c>
      <c r="G80">
        <f>Arkusz1!D79-D80</f>
        <v>-1.0113087861976802</v>
      </c>
    </row>
    <row r="81" spans="1:7" x14ac:dyDescent="0.25">
      <c r="A81">
        <v>1.8298736289999999</v>
      </c>
      <c r="B81" t="s">
        <v>80</v>
      </c>
      <c r="D81">
        <f>IMABS(sygnal__2[[#This Row],[Column2]])</f>
        <v>1.0211403888596038</v>
      </c>
      <c r="G81">
        <f>Arkusz1!D80-D81</f>
        <v>-1.0211403888596038</v>
      </c>
    </row>
    <row r="82" spans="1:7" x14ac:dyDescent="0.25">
      <c r="A82">
        <v>1.8660254039999999</v>
      </c>
      <c r="B82" t="s">
        <v>81</v>
      </c>
      <c r="D82">
        <f>IMABS(sygnal__2[[#This Row],[Column2]])</f>
        <v>1.0318365694288858</v>
      </c>
      <c r="G82">
        <f>Arkusz1!D81-D82</f>
        <v>-1.0318365694288858</v>
      </c>
    </row>
    <row r="83" spans="1:7" x14ac:dyDescent="0.25">
      <c r="A83">
        <v>1.8036966809999999</v>
      </c>
      <c r="B83" t="s">
        <v>82</v>
      </c>
      <c r="D83">
        <f>IMABS(sygnal__2[[#This Row],[Column2]])</f>
        <v>1.0434406067058459</v>
      </c>
      <c r="G83">
        <f>Arkusz1!D82-D83</f>
        <v>-1.0434406067058459</v>
      </c>
    </row>
    <row r="84" spans="1:7" x14ac:dyDescent="0.25">
      <c r="A84">
        <v>1.647687562</v>
      </c>
      <c r="B84" t="s">
        <v>83</v>
      </c>
      <c r="D84">
        <f>IMABS(sygnal__2[[#This Row],[Column2]])</f>
        <v>1.0560007968096885</v>
      </c>
      <c r="G84">
        <f>Arkusz1!D83-D84</f>
        <v>-1.0560007968096885</v>
      </c>
    </row>
    <row r="85" spans="1:7" x14ac:dyDescent="0.25">
      <c r="A85">
        <v>1.411911441</v>
      </c>
      <c r="B85" t="s">
        <v>84</v>
      </c>
      <c r="D85">
        <f>IMABS(sygnal__2[[#This Row],[Column2]])</f>
        <v>1.069570970326178</v>
      </c>
      <c r="G85">
        <f>Arkusz1!D84-D85</f>
        <v>-1.069570970326178</v>
      </c>
    </row>
    <row r="86" spans="1:7" x14ac:dyDescent="0.25">
      <c r="A86">
        <v>1.118033989</v>
      </c>
      <c r="B86" t="s">
        <v>85</v>
      </c>
      <c r="D86">
        <f>IMABS(sygnal__2[[#This Row],[Column2]])</f>
        <v>1.0842112016082139</v>
      </c>
      <c r="G86">
        <f>Arkusz1!D85-D86</f>
        <v>-1.0842112016082139</v>
      </c>
    </row>
    <row r="87" spans="1:7" x14ac:dyDescent="0.25">
      <c r="A87">
        <v>0.79335334000000002</v>
      </c>
      <c r="B87" t="s">
        <v>86</v>
      </c>
      <c r="D87">
        <f>IMABS(sygnal__2[[#This Row],[Column2]])</f>
        <v>1.0999885455321927</v>
      </c>
      <c r="G87">
        <f>Arkusz1!D86-D87</f>
        <v>-1.0999885455321927</v>
      </c>
    </row>
    <row r="88" spans="1:7" x14ac:dyDescent="0.25">
      <c r="A88">
        <v>0.46812896700000001</v>
      </c>
      <c r="B88" t="s">
        <v>87</v>
      </c>
      <c r="D88">
        <f>IMABS(sygnal__2[[#This Row],[Column2]])</f>
        <v>1.1169778820049443</v>
      </c>
      <c r="G88">
        <f>Arkusz1!D87-D88</f>
        <v>-1.1169778820049443</v>
      </c>
    </row>
    <row r="89" spans="1:7" x14ac:dyDescent="0.25">
      <c r="A89">
        <v>0.17262071300000001</v>
      </c>
      <c r="B89" t="s">
        <v>88</v>
      </c>
      <c r="D89">
        <f>IMABS(sygnal__2[[#This Row],[Column2]])</f>
        <v>1.1352630244642656</v>
      </c>
      <c r="G89">
        <f>Arkusz1!D88-D89</f>
        <v>-1.1352630244642656</v>
      </c>
    </row>
    <row r="90" spans="1:7" x14ac:dyDescent="0.25">
      <c r="A90">
        <v>-6.5872168999999994E-2</v>
      </c>
      <c r="B90" t="s">
        <v>89</v>
      </c>
      <c r="D90">
        <f>IMABS(sygnal__2[[#This Row],[Column2]])</f>
        <v>1.1549378869719158</v>
      </c>
      <c r="G90">
        <f>Arkusz1!D89-D90</f>
        <v>-1.1549378869719158</v>
      </c>
    </row>
    <row r="91" spans="1:7" x14ac:dyDescent="0.25">
      <c r="A91">
        <v>-0.225682145</v>
      </c>
      <c r="B91" t="s">
        <v>90</v>
      </c>
      <c r="D91">
        <f>IMABS(sygnal__2[[#This Row],[Column2]])</f>
        <v>1.176107927106304</v>
      </c>
      <c r="G91">
        <f>Arkusz1!D90-D91</f>
        <v>-1.176107927106304</v>
      </c>
    </row>
    <row r="92" spans="1:7" x14ac:dyDescent="0.25">
      <c r="A92">
        <v>-0.29289321899999998</v>
      </c>
      <c r="B92" t="s">
        <v>91</v>
      </c>
      <c r="D92">
        <f>IMABS(sygnal__2[[#This Row],[Column2]])</f>
        <v>1.1988918665197197</v>
      </c>
      <c r="G92">
        <f>Arkusz1!D91-D92</f>
        <v>-1.1988918665197197</v>
      </c>
    </row>
    <row r="93" spans="1:7" x14ac:dyDescent="0.25">
      <c r="A93">
        <v>-0.26270194099999999</v>
      </c>
      <c r="B93" t="s">
        <v>92</v>
      </c>
      <c r="D93">
        <f>IMABS(sygnal__2[[#This Row],[Column2]])</f>
        <v>1.2234237080099486</v>
      </c>
      <c r="G93">
        <f>Arkusz1!D92-D93</f>
        <v>-1.2234237080099486</v>
      </c>
    </row>
    <row r="94" spans="1:7" x14ac:dyDescent="0.25">
      <c r="A94">
        <v>-0.139886388</v>
      </c>
      <c r="B94" t="s">
        <v>93</v>
      </c>
      <c r="D94">
        <f>IMABS(sygnal__2[[#This Row],[Column2]])</f>
        <v>1.2498551658095567</v>
      </c>
      <c r="G94">
        <f>Arkusz1!D93-D94</f>
        <v>-1.2498551658095567</v>
      </c>
    </row>
    <row r="95" spans="1:7" x14ac:dyDescent="0.25">
      <c r="A95">
        <v>6.1662795999999999E-2</v>
      </c>
      <c r="B95" t="s">
        <v>94</v>
      </c>
      <c r="D95">
        <f>IMABS(sygnal__2[[#This Row],[Column2]])</f>
        <v>1.2783585939720556</v>
      </c>
      <c r="G95">
        <f>Arkusz1!D94-D95</f>
        <v>-1.2783585939720556</v>
      </c>
    </row>
    <row r="96" spans="1:7" x14ac:dyDescent="0.25">
      <c r="A96">
        <v>0.32030339699999999</v>
      </c>
      <c r="B96" t="s">
        <v>95</v>
      </c>
      <c r="D96">
        <f>IMABS(sygnal__2[[#This Row],[Column2]])</f>
        <v>1.3091305306294445</v>
      </c>
      <c r="G96">
        <f>Arkusz1!D95-D96</f>
        <v>-1.3091305306294445</v>
      </c>
    </row>
    <row r="97" spans="1:7" x14ac:dyDescent="0.25">
      <c r="A97">
        <v>0.60876142899999997</v>
      </c>
      <c r="B97" t="s">
        <v>96</v>
      </c>
      <c r="D97">
        <f>IMABS(sygnal__2[[#This Row],[Column2]])</f>
        <v>1.3423960124892014</v>
      </c>
      <c r="G97">
        <f>Arkusz1!D96-D97</f>
        <v>-1.3423960124892014</v>
      </c>
    </row>
    <row r="98" spans="1:7" x14ac:dyDescent="0.25">
      <c r="A98">
        <v>0.896802247</v>
      </c>
      <c r="B98" t="s">
        <v>97</v>
      </c>
      <c r="D98">
        <f>IMABS(sygnal__2[[#This Row],[Column2]])</f>
        <v>1.3784138856219488</v>
      </c>
      <c r="G98">
        <f>Arkusz1!D97-D98</f>
        <v>-1.3784138856219488</v>
      </c>
    </row>
    <row r="99" spans="1:7" x14ac:dyDescent="0.25">
      <c r="A99">
        <v>1.154191489</v>
      </c>
      <c r="B99" t="s">
        <v>98</v>
      </c>
      <c r="D99">
        <f>IMABS(sygnal__2[[#This Row],[Column2]])</f>
        <v>1.4174833531966409</v>
      </c>
      <c r="G99">
        <f>Arkusz1!D98-D99</f>
        <v>-1.4174833531966409</v>
      </c>
    </row>
    <row r="100" spans="1:7" x14ac:dyDescent="0.25">
      <c r="A100">
        <v>1.3536560289999999</v>
      </c>
      <c r="B100" t="s">
        <v>99</v>
      </c>
      <c r="D100">
        <f>IMABS(sygnal__2[[#This Row],[Column2]])</f>
        <v>1.4599521909482038</v>
      </c>
      <c r="G100">
        <f>Arkusz1!D99-D100</f>
        <v>-1.4599521909482038</v>
      </c>
    </row>
    <row r="101" spans="1:7" x14ac:dyDescent="0.25">
      <c r="A101">
        <v>1.473555081</v>
      </c>
      <c r="B101" t="s">
        <v>100</v>
      </c>
      <c r="D101">
        <f>IMABS(sygnal__2[[#This Row],[Column2]])</f>
        <v>1.5062270150888439</v>
      </c>
      <c r="G101">
        <f>Arkusz1!D100-D101</f>
        <v>-1.5062270150888439</v>
      </c>
    </row>
    <row r="102" spans="1:7" x14ac:dyDescent="0.25">
      <c r="A102">
        <v>1.5</v>
      </c>
      <c r="B102" t="s">
        <v>101</v>
      </c>
      <c r="D102">
        <f>IMABS(sygnal__2[[#This Row],[Column2]])</f>
        <v>1.5567863863125504</v>
      </c>
      <c r="G102">
        <f>Arkusz1!D101-D102</f>
        <v>-1.5567863863125504</v>
      </c>
    </row>
    <row r="103" spans="1:7" x14ac:dyDescent="0.25">
      <c r="A103">
        <v>1.4282152770000001</v>
      </c>
      <c r="B103" t="s">
        <v>102</v>
      </c>
      <c r="D103">
        <f>IMABS(sygnal__2[[#This Row],[Column2]])</f>
        <v>1.6121976410536389</v>
      </c>
      <c r="G103">
        <f>Arkusz1!D102-D103</f>
        <v>-1.6121976410536389</v>
      </c>
    </row>
    <row r="104" spans="1:7" x14ac:dyDescent="0.25">
      <c r="A104">
        <v>1.263007494</v>
      </c>
      <c r="B104" t="s">
        <v>103</v>
      </c>
      <c r="D104">
        <f>IMABS(sygnal__2[[#This Row],[Column2]])</f>
        <v>1.6731387048426776</v>
      </c>
      <c r="G104">
        <f>Arkusz1!D103-D104</f>
        <v>-1.6731387048426776</v>
      </c>
    </row>
    <row r="105" spans="1:7" x14ac:dyDescent="0.25">
      <c r="A105">
        <v>1.0182963490000001</v>
      </c>
      <c r="B105" t="s">
        <v>104</v>
      </c>
      <c r="D105">
        <f>IMABS(sygnal__2[[#This Row],[Column2]])</f>
        <v>1.7404268307598927</v>
      </c>
      <c r="G105">
        <f>Arkusz1!D104-D105</f>
        <v>-1.7404268307598927</v>
      </c>
    </row>
    <row r="106" spans="1:7" x14ac:dyDescent="0.25">
      <c r="A106">
        <v>0.71575363700000005</v>
      </c>
      <c r="B106" t="s">
        <v>105</v>
      </c>
      <c r="D106">
        <f>IMABS(sygnal__2[[#This Row],[Column2]])</f>
        <v>1.8150569251414583</v>
      </c>
      <c r="G106">
        <f>Arkusz1!D105-D106</f>
        <v>-1.8150569251414583</v>
      </c>
    </row>
    <row r="107" spans="1:7" x14ac:dyDescent="0.25">
      <c r="A107">
        <v>0.38268343199999999</v>
      </c>
      <c r="B107" t="s">
        <v>106</v>
      </c>
      <c r="D107">
        <f>IMABS(sygnal__2[[#This Row],[Column2]])</f>
        <v>1.8982534458840576</v>
      </c>
      <c r="G107">
        <f>Arkusz1!D106-D107</f>
        <v>-1.8982534458840576</v>
      </c>
    </row>
    <row r="108" spans="1:7" x14ac:dyDescent="0.25">
      <c r="A108">
        <v>4.9350955000000002E-2</v>
      </c>
      <c r="B108" t="s">
        <v>107</v>
      </c>
      <c r="D108">
        <f>IMABS(sygnal__2[[#This Row],[Column2]])</f>
        <v>1.9915418894510735</v>
      </c>
      <c r="G108">
        <f>Arkusz1!D107-D108</f>
        <v>-1.9915418894510735</v>
      </c>
    </row>
    <row r="109" spans="1:7" x14ac:dyDescent="0.25">
      <c r="A109">
        <v>-0.25397839300000002</v>
      </c>
      <c r="B109" t="s">
        <v>108</v>
      </c>
      <c r="D109">
        <f>IMABS(sygnal__2[[#This Row],[Column2]])</f>
        <v>2.0968491836248697</v>
      </c>
      <c r="G109">
        <f>Arkusz1!D108-D109</f>
        <v>-2.0968491836248697</v>
      </c>
    </row>
    <row r="110" spans="1:7" x14ac:dyDescent="0.25">
      <c r="A110">
        <v>-0.5</v>
      </c>
      <c r="B110" t="s">
        <v>109</v>
      </c>
      <c r="D110">
        <f>IMABS(sygnal__2[[#This Row],[Column2]])</f>
        <v>2.216647686909043</v>
      </c>
      <c r="G110">
        <f>Arkusz1!D109-D110</f>
        <v>-2.216647686909043</v>
      </c>
    </row>
    <row r="111" spans="1:7" x14ac:dyDescent="0.25">
      <c r="A111">
        <v>-0.66704117200000002</v>
      </c>
      <c r="B111" t="s">
        <v>110</v>
      </c>
      <c r="D111">
        <f>IMABS(sygnal__2[[#This Row],[Column2]])</f>
        <v>2.3541667443573777</v>
      </c>
      <c r="G111">
        <f>Arkusz1!D110-D111</f>
        <v>-2.3541667443573777</v>
      </c>
    </row>
    <row r="112" spans="1:7" x14ac:dyDescent="0.25">
      <c r="A112">
        <v>-0.74118095500000003</v>
      </c>
      <c r="B112" t="s">
        <v>111</v>
      </c>
      <c r="D112">
        <f>IMABS(sygnal__2[[#This Row],[Column2]])</f>
        <v>2.5137122714485693</v>
      </c>
      <c r="G112">
        <f>Arkusz1!D111-D112</f>
        <v>-2.5137122714485693</v>
      </c>
    </row>
    <row r="113" spans="1:7" x14ac:dyDescent="0.25">
      <c r="A113">
        <v>-0.71761115200000003</v>
      </c>
      <c r="B113" t="s">
        <v>112</v>
      </c>
      <c r="D113">
        <f>IMABS(sygnal__2[[#This Row],[Column2]])</f>
        <v>2.7011651534067291</v>
      </c>
      <c r="G113">
        <f>Arkusz1!D112-D113</f>
        <v>-2.7011651534067291</v>
      </c>
    </row>
    <row r="114" spans="1:7" x14ac:dyDescent="0.25">
      <c r="A114">
        <v>-0.60110530399999995</v>
      </c>
      <c r="B114" t="s">
        <v>113</v>
      </c>
      <c r="D114">
        <f>IMABS(sygnal__2[[#This Row],[Column2]])</f>
        <v>2.9247878520106072</v>
      </c>
      <c r="G114">
        <f>Arkusz1!D113-D114</f>
        <v>-2.9247878520106072</v>
      </c>
    </row>
    <row r="115" spans="1:7" x14ac:dyDescent="0.25">
      <c r="A115">
        <v>-0.40554972700000003</v>
      </c>
      <c r="B115" t="s">
        <v>114</v>
      </c>
      <c r="D115">
        <f>IMABS(sygnal__2[[#This Row],[Column2]])</f>
        <v>3.1965885495602322</v>
      </c>
      <c r="G115">
        <f>Arkusz1!D114-D115</f>
        <v>-3.1965885495602322</v>
      </c>
    </row>
    <row r="116" spans="1:7" x14ac:dyDescent="0.25">
      <c r="A116">
        <v>-0.15258252899999999</v>
      </c>
      <c r="B116" t="s">
        <v>115</v>
      </c>
      <c r="D116">
        <f>IMABS(sygnal__2[[#This Row],[Column2]])</f>
        <v>3.5347534460909125</v>
      </c>
      <c r="G116">
        <f>Arkusz1!D115-D116</f>
        <v>-3.5347534460909125</v>
      </c>
    </row>
    <row r="117" spans="1:7" x14ac:dyDescent="0.25">
      <c r="A117">
        <v>0.13052619200000001</v>
      </c>
      <c r="B117" t="s">
        <v>116</v>
      </c>
      <c r="D117">
        <f>IMABS(sygnal__2[[#This Row],[Column2]])</f>
        <v>3.9682744643765626</v>
      </c>
      <c r="G117">
        <f>Arkusz1!D116-D117</f>
        <v>-3.9682744643765626</v>
      </c>
    </row>
    <row r="118" spans="1:7" x14ac:dyDescent="0.25">
      <c r="A118">
        <v>0.41354545799999998</v>
      </c>
      <c r="B118" t="s">
        <v>117</v>
      </c>
      <c r="D118">
        <f>IMABS(sygnal__2[[#This Row],[Column2]])</f>
        <v>4.5465049377532782</v>
      </c>
      <c r="G118">
        <f>Arkusz1!D117-D118</f>
        <v>-4.5465049377532782</v>
      </c>
    </row>
    <row r="119" spans="1:7" x14ac:dyDescent="0.25">
      <c r="A119">
        <v>0.66624434799999999</v>
      </c>
      <c r="B119" t="s">
        <v>118</v>
      </c>
      <c r="D119">
        <f>IMABS(sygnal__2[[#This Row],[Column2]])</f>
        <v>5.3611155034147915</v>
      </c>
      <c r="G119">
        <f>Arkusz1!D118-D119</f>
        <v>-5.3611155034147915</v>
      </c>
    </row>
    <row r="120" spans="1:7" x14ac:dyDescent="0.25">
      <c r="A120">
        <v>0.86135295099999998</v>
      </c>
      <c r="B120" t="s">
        <v>119</v>
      </c>
      <c r="D120">
        <f>IMABS(sygnal__2[[#This Row],[Column2]])</f>
        <v>6.6044931461155381</v>
      </c>
      <c r="G120">
        <f>Arkusz1!D119-D120</f>
        <v>-6.6044931461155381</v>
      </c>
    </row>
    <row r="121" spans="1:7" x14ac:dyDescent="0.25">
      <c r="A121">
        <v>0.97723346499999997</v>
      </c>
      <c r="B121" t="s">
        <v>120</v>
      </c>
      <c r="D121">
        <f>IMABS(sygnal__2[[#This Row],[Column2]])</f>
        <v>8.7624955987105775</v>
      </c>
      <c r="G121">
        <f>Arkusz1!D120-D121</f>
        <v>-8.7624955987105775</v>
      </c>
    </row>
    <row r="122" spans="1:7" x14ac:dyDescent="0.25">
      <c r="A122">
        <v>1</v>
      </c>
      <c r="B122" t="s">
        <v>121</v>
      </c>
      <c r="D122">
        <f>IMABS(sygnal__2[[#This Row],[Column2]])</f>
        <v>13.528596814129788</v>
      </c>
      <c r="G122">
        <f>Arkusz1!D121-D122</f>
        <v>-13.528596814129788</v>
      </c>
    </row>
    <row r="123" spans="1:7" x14ac:dyDescent="0.25">
      <c r="A123">
        <v>0.92487956800000004</v>
      </c>
      <c r="B123" t="s">
        <v>122</v>
      </c>
      <c r="D123">
        <f>IMABS(sygnal__2[[#This Row],[Column2]])</f>
        <v>33.850465284303908</v>
      </c>
      <c r="G123">
        <f>Arkusz1!D122-D123</f>
        <v>-33.850465284303908</v>
      </c>
    </row>
    <row r="124" spans="1:7" x14ac:dyDescent="0.25">
      <c r="A124">
        <v>0.75668103799999997</v>
      </c>
      <c r="B124" t="s">
        <v>123</v>
      </c>
      <c r="D124">
        <f>IMABS(sygnal__2[[#This Row],[Column2]])</f>
        <v>46.686837443585183</v>
      </c>
      <c r="G124">
        <f>Arkusz1!D123-D124</f>
        <v>-46.686837443585183</v>
      </c>
    </row>
    <row r="125" spans="1:7" x14ac:dyDescent="0.25">
      <c r="A125">
        <v>0.50932615699999995</v>
      </c>
      <c r="B125" t="s">
        <v>124</v>
      </c>
      <c r="D125">
        <f>IMABS(sygnal__2[[#This Row],[Column2]])</f>
        <v>11.804575989199929</v>
      </c>
      <c r="G125">
        <f>Arkusz1!D124-D125</f>
        <v>-11.804575989199929</v>
      </c>
    </row>
    <row r="126" spans="1:7" x14ac:dyDescent="0.25">
      <c r="A126">
        <v>0.204488531</v>
      </c>
      <c r="B126" t="s">
        <v>125</v>
      </c>
      <c r="D126">
        <f>IMABS(sygnal__2[[#This Row],[Column2]])</f>
        <v>5.5563972914631021</v>
      </c>
      <c r="G126">
        <f>Arkusz1!D125-D126</f>
        <v>-5.5563972914631021</v>
      </c>
    </row>
    <row r="127" spans="1:7" x14ac:dyDescent="0.25">
      <c r="A127">
        <v>-0.13052619200000001</v>
      </c>
      <c r="B127" t="s">
        <v>126</v>
      </c>
      <c r="D127">
        <f>IMABS(sygnal__2[[#This Row],[Column2]])</f>
        <v>2.2255522597750046</v>
      </c>
      <c r="G127">
        <f>Arkusz1!D126-D127</f>
        <v>-2.2255522597750046</v>
      </c>
    </row>
    <row r="128" spans="1:7" x14ac:dyDescent="0.25">
      <c r="A128">
        <v>-0.46545145900000001</v>
      </c>
      <c r="B128" t="s">
        <v>127</v>
      </c>
      <c r="D128">
        <f>IMABS(sygnal__2[[#This Row],[Column2]])</f>
        <v>2.7355506724756089</v>
      </c>
      <c r="G128">
        <f>Arkusz1!D127-D128</f>
        <v>-2.7355506724756089</v>
      </c>
    </row>
    <row r="129" spans="1:7" x14ac:dyDescent="0.25">
      <c r="A129">
        <v>-0.77002077800000002</v>
      </c>
      <c r="B129" t="s">
        <v>128</v>
      </c>
      <c r="D129">
        <f>IMABS(sygnal__2[[#This Row],[Column2]])</f>
        <v>27.584468653123238</v>
      </c>
      <c r="G129">
        <f>Arkusz1!D128-D129</f>
        <v>-27.584468653123238</v>
      </c>
    </row>
    <row r="130" spans="1:7" x14ac:dyDescent="0.25">
      <c r="G130">
        <f>Arkusz1!D129-D130</f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D68B8-94DF-407F-BF71-68AB028D24E3}">
  <sheetPr codeName="Arkusz1"/>
  <dimension ref="D1:K64"/>
  <sheetViews>
    <sheetView tabSelected="1" workbookViewId="0">
      <selection activeCell="F15" sqref="F15"/>
    </sheetView>
  </sheetViews>
  <sheetFormatPr defaultRowHeight="15" x14ac:dyDescent="0.25"/>
  <cols>
    <col min="11" max="11" width="16.5703125" style="1" customWidth="1"/>
  </cols>
  <sheetData>
    <row r="1" spans="4:11" ht="33.75" customHeight="1" x14ac:dyDescent="0.25">
      <c r="D1">
        <v>78.419386174999985</v>
      </c>
      <c r="E1">
        <v>128</v>
      </c>
      <c r="K1" s="2">
        <v>63</v>
      </c>
    </row>
    <row r="2" spans="4:11" x14ac:dyDescent="0.25">
      <c r="D2">
        <v>27.603349884205194</v>
      </c>
    </row>
    <row r="3" spans="4:11" x14ac:dyDescent="0.25">
      <c r="D3">
        <v>11.255804502776689</v>
      </c>
    </row>
    <row r="4" spans="4:11" x14ac:dyDescent="0.25">
      <c r="D4">
        <v>0.92210488885231012</v>
      </c>
    </row>
    <row r="5" spans="4:11" x14ac:dyDescent="0.25">
      <c r="D5">
        <v>5.1619575234601873</v>
      </c>
    </row>
    <row r="6" spans="4:11" x14ac:dyDescent="0.25">
      <c r="D6">
        <v>12.5448727922417</v>
      </c>
    </row>
    <row r="7" spans="4:11" x14ac:dyDescent="0.25">
      <c r="D7">
        <v>52.462551759606676</v>
      </c>
    </row>
    <row r="8" spans="4:11" x14ac:dyDescent="0.25">
      <c r="D8">
        <v>39.205880370355807</v>
      </c>
    </row>
    <row r="9" spans="4:11" x14ac:dyDescent="0.25">
      <c r="D9">
        <v>15.951541032997048</v>
      </c>
    </row>
    <row r="10" spans="4:11" x14ac:dyDescent="0.25">
      <c r="D10">
        <v>10.442690586271757</v>
      </c>
    </row>
    <row r="11" spans="4:11" x14ac:dyDescent="0.25">
      <c r="D11">
        <v>7.9181376995745829</v>
      </c>
    </row>
    <row r="12" spans="4:11" x14ac:dyDescent="0.25">
      <c r="D12">
        <v>6.4447475435400206</v>
      </c>
    </row>
    <row r="13" spans="4:11" x14ac:dyDescent="0.25">
      <c r="D13">
        <v>5.4666841077661186</v>
      </c>
    </row>
    <row r="14" spans="4:11" x14ac:dyDescent="0.25">
      <c r="D14">
        <v>4.7631606554307035</v>
      </c>
    </row>
    <row r="15" spans="4:11" x14ac:dyDescent="0.25">
      <c r="D15">
        <v>4.2286248825105375</v>
      </c>
    </row>
    <row r="16" spans="4:11" x14ac:dyDescent="0.25">
      <c r="D16">
        <v>3.8060324206476883</v>
      </c>
    </row>
    <row r="17" spans="4:4" x14ac:dyDescent="0.25">
      <c r="D17">
        <v>3.4610786471125241</v>
      </c>
    </row>
    <row r="18" spans="4:4" x14ac:dyDescent="0.25">
      <c r="D18">
        <v>3.1715217853926787</v>
      </c>
    </row>
    <row r="19" spans="4:4" x14ac:dyDescent="0.25">
      <c r="D19">
        <v>2.9294992426334385</v>
      </c>
    </row>
    <row r="20" spans="4:4" x14ac:dyDescent="0.25">
      <c r="D20">
        <v>2.7137628917725483</v>
      </c>
    </row>
    <row r="21" spans="4:4" x14ac:dyDescent="0.25">
      <c r="D21">
        <v>2.5321090124856687</v>
      </c>
    </row>
    <row r="22" spans="4:4" x14ac:dyDescent="0.25">
      <c r="D22">
        <v>2.3640320964471773</v>
      </c>
    </row>
    <row r="23" spans="4:4" x14ac:dyDescent="0.25">
      <c r="D23">
        <v>2.2102098499265601</v>
      </c>
    </row>
    <row r="24" spans="4:4" x14ac:dyDescent="0.25">
      <c r="D24">
        <v>2.0602222625448241</v>
      </c>
    </row>
    <row r="25" spans="4:4" x14ac:dyDescent="0.25">
      <c r="D25">
        <v>1.8240951035554005</v>
      </c>
    </row>
    <row r="26" spans="4:4" x14ac:dyDescent="0.25">
      <c r="D26">
        <v>1.9104020042121075</v>
      </c>
    </row>
    <row r="27" spans="4:4" x14ac:dyDescent="0.25">
      <c r="D27">
        <v>1.7878492379399489</v>
      </c>
    </row>
    <row r="28" spans="4:4" x14ac:dyDescent="0.25">
      <c r="D28">
        <v>2.1018673875211431</v>
      </c>
    </row>
    <row r="29" spans="4:4" x14ac:dyDescent="0.25">
      <c r="D29">
        <v>1.6587026527115287</v>
      </c>
    </row>
    <row r="30" spans="4:4" x14ac:dyDescent="0.25">
      <c r="D30">
        <v>1.5525425251522695</v>
      </c>
    </row>
    <row r="31" spans="4:4" x14ac:dyDescent="0.25">
      <c r="D31">
        <v>1.4643868041832941</v>
      </c>
    </row>
    <row r="32" spans="4:4" x14ac:dyDescent="0.25">
      <c r="D32">
        <v>1.383436863983972</v>
      </c>
    </row>
    <row r="33" spans="4:4" x14ac:dyDescent="0.25">
      <c r="D33">
        <v>1.3066199320543386</v>
      </c>
    </row>
    <row r="34" spans="4:4" x14ac:dyDescent="0.25">
      <c r="D34">
        <v>1.2322285983074885</v>
      </c>
    </row>
    <row r="35" spans="4:4" x14ac:dyDescent="0.25">
      <c r="D35">
        <v>1.1590197764710091</v>
      </c>
    </row>
    <row r="36" spans="4:4" x14ac:dyDescent="0.25">
      <c r="D36">
        <v>1.0859409455280167</v>
      </c>
    </row>
    <row r="37" spans="4:4" x14ac:dyDescent="0.25">
      <c r="D37">
        <v>1.0160012801508904</v>
      </c>
    </row>
    <row r="38" spans="4:4" x14ac:dyDescent="0.25">
      <c r="D38">
        <v>0.94904815133270082</v>
      </c>
    </row>
    <row r="39" spans="4:4" x14ac:dyDescent="0.25">
      <c r="D39">
        <v>0.91528570031722178</v>
      </c>
    </row>
    <row r="40" spans="4:4" x14ac:dyDescent="0.25">
      <c r="D40">
        <v>1.0630321048436724</v>
      </c>
    </row>
    <row r="41" spans="4:4" x14ac:dyDescent="0.25">
      <c r="D41">
        <v>2.7768671090589416</v>
      </c>
    </row>
    <row r="42" spans="4:4" x14ac:dyDescent="0.25">
      <c r="D42">
        <v>3.6420456834809118</v>
      </c>
    </row>
    <row r="43" spans="4:4" x14ac:dyDescent="0.25">
      <c r="D43">
        <v>1.1281465032086084</v>
      </c>
    </row>
    <row r="44" spans="4:4" x14ac:dyDescent="0.25">
      <c r="D44">
        <v>2.1656778850531646</v>
      </c>
    </row>
    <row r="45" spans="4:4" x14ac:dyDescent="0.25">
      <c r="D45">
        <v>1.1221606361507779</v>
      </c>
    </row>
    <row r="46" spans="4:4" x14ac:dyDescent="0.25">
      <c r="D46">
        <v>9.0513183721993364</v>
      </c>
    </row>
    <row r="47" spans="4:4" x14ac:dyDescent="0.25">
      <c r="D47">
        <v>2.4300176375766598</v>
      </c>
    </row>
    <row r="48" spans="4:4" x14ac:dyDescent="0.25">
      <c r="D48">
        <v>1.7881901824054174</v>
      </c>
    </row>
    <row r="49" spans="4:4" x14ac:dyDescent="0.25">
      <c r="D49">
        <v>1.5194182527842257</v>
      </c>
    </row>
    <row r="50" spans="4:4" x14ac:dyDescent="0.25">
      <c r="D50">
        <v>1.3472449648247502</v>
      </c>
    </row>
    <row r="51" spans="4:4" x14ac:dyDescent="0.25">
      <c r="D51">
        <v>1.7864852041418617</v>
      </c>
    </row>
    <row r="52" spans="4:4" x14ac:dyDescent="0.25">
      <c r="D52">
        <v>1.1852236992823288</v>
      </c>
    </row>
    <row r="53" spans="4:4" x14ac:dyDescent="0.25">
      <c r="D53">
        <v>1.1331156169290955</v>
      </c>
    </row>
    <row r="54" spans="4:4" x14ac:dyDescent="0.25">
      <c r="D54">
        <v>1.1978857476878713</v>
      </c>
    </row>
    <row r="55" spans="4:4" x14ac:dyDescent="0.25">
      <c r="D55">
        <v>1.1242427602577305</v>
      </c>
    </row>
    <row r="56" spans="4:4" x14ac:dyDescent="0.25">
      <c r="D56">
        <v>1.0752275323531004</v>
      </c>
    </row>
    <row r="57" spans="4:4" x14ac:dyDescent="0.25">
      <c r="D57">
        <v>1.0454244250123879</v>
      </c>
    </row>
    <row r="58" spans="4:4" x14ac:dyDescent="0.25">
      <c r="D58">
        <v>1.0193240560065515</v>
      </c>
    </row>
    <row r="59" spans="4:4" x14ac:dyDescent="0.25">
      <c r="D59">
        <v>0.9992531120542294</v>
      </c>
    </row>
    <row r="60" spans="4:4" x14ac:dyDescent="0.25">
      <c r="D60">
        <v>0.98317271059482014</v>
      </c>
    </row>
    <row r="61" spans="4:4" x14ac:dyDescent="0.25">
      <c r="D61">
        <v>0.97052165729692264</v>
      </c>
    </row>
    <row r="62" spans="4:4" x14ac:dyDescent="0.25">
      <c r="D62">
        <v>0.96095478995214345</v>
      </c>
    </row>
    <row r="63" spans="4:4" x14ac:dyDescent="0.25">
      <c r="D63">
        <v>0.95425432312818892</v>
      </c>
    </row>
    <row r="64" spans="4:4" x14ac:dyDescent="0.25">
      <c r="D64">
        <v>0.9502840321024052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zycisk1_Click">
                <anchor moveWithCells="1">
                  <from>
                    <xdr:col>8</xdr:col>
                    <xdr:colOff>361950</xdr:colOff>
                    <xdr:row>9</xdr:row>
                    <xdr:rowOff>85725</xdr:rowOff>
                  </from>
                  <to>
                    <xdr:col>10</xdr:col>
                    <xdr:colOff>285750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zycisk2_Click">
                <anchor moveWithCells="1">
                  <from>
                    <xdr:col>5</xdr:col>
                    <xdr:colOff>514350</xdr:colOff>
                    <xdr:row>0</xdr:row>
                    <xdr:rowOff>76200</xdr:rowOff>
                  </from>
                  <to>
                    <xdr:col>7</xdr:col>
                    <xdr:colOff>409575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zycisk3_Click">
                <anchor moveWithCells="1">
                  <from>
                    <xdr:col>8</xdr:col>
                    <xdr:colOff>361950</xdr:colOff>
                    <xdr:row>11</xdr:row>
                    <xdr:rowOff>133350</xdr:rowOff>
                  </from>
                  <to>
                    <xdr:col>11</xdr:col>
                    <xdr:colOff>152400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rzycisk5_Click">
                <anchor moveWithCells="1">
                  <from>
                    <xdr:col>11</xdr:col>
                    <xdr:colOff>438150</xdr:colOff>
                    <xdr:row>1</xdr:row>
                    <xdr:rowOff>9525</xdr:rowOff>
                  </from>
                  <to>
                    <xdr:col>13</xdr:col>
                    <xdr:colOff>533400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Przycisk6_Click">
                <anchor moveWithCells="1">
                  <from>
                    <xdr:col>8</xdr:col>
                    <xdr:colOff>419100</xdr:colOff>
                    <xdr:row>7</xdr:row>
                    <xdr:rowOff>28575</xdr:rowOff>
                  </from>
                  <to>
                    <xdr:col>10</xdr:col>
                    <xdr:colOff>114300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43A31-5C71-4EB1-B5CA-B018157326AD}">
  <sheetPr codeName="Arkusz2"/>
  <dimension ref="A1"/>
  <sheetViews>
    <sheetView topLeftCell="A8176" workbookViewId="0">
      <selection activeCell="E8189" sqref="E8189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BF867-962F-451E-A1B8-A310CE3DACA3}">
  <sheetPr codeName="Arkusz3"/>
  <dimension ref="A1"/>
  <sheetViews>
    <sheetView topLeftCell="A1002" workbookViewId="0">
      <selection activeCell="D1006" sqref="D100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0256D-A8C4-4DF3-91E1-A3070DC065D3}">
  <sheetPr codeName="Arkusz4"/>
  <dimension ref="A1"/>
  <sheetViews>
    <sheetView workbookViewId="0">
      <selection activeCell="D23" sqref="D23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CAD7F6-F113-4E6F-BADF-A3BA39A280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sygnal (2)</vt:lpstr>
      <vt:lpstr>Arkusz1</vt:lpstr>
      <vt:lpstr>Arkusz2</vt:lpstr>
      <vt:lpstr>Arkusz3</vt:lpstr>
      <vt:lpstr>Arkusz4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Pankowski Andrzej</dc:creator>
  <cp:lastModifiedBy>Malesa Krystian (STUD)</cp:lastModifiedBy>
  <dcterms:created xsi:type="dcterms:W3CDTF">2025-05-19T22:44:22Z</dcterms:created>
  <dcterms:modified xsi:type="dcterms:W3CDTF">2025-05-20T14:44:38Z</dcterms:modified>
</cp:coreProperties>
</file>